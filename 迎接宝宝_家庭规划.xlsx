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仪表板" sheetId="1" state="visible" r:id="rId3"/>
    <sheet name="断舍离计划" sheetId="2" state="visible" r:id="rId4"/>
    <sheet name="收纳方案" sheetId="3" state="visible" r:id="rId5"/>
    <sheet name="宝宝用品清单" sheetId="4" state="visible" r:id="rId6"/>
    <sheet name="空间改造时间线" sheetId="5" state="visible" r:id="rId7"/>
    <sheet name="预算汇总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<sst xmlns="http://schemas.openxmlformats.org/spreadsheetml/2006/main" count="452" uniqueCount="292">
  <si>
    <t xml:space="preserve">迎接宝宝 — 家庭空间改造项目</t>
  </si>
  <si>
    <r>
      <rPr>
        <sz val="11"/>
        <color rgb="FF7F8C8D"/>
        <rFont val="DejaVu Sans"/>
        <family val="2"/>
      </rPr>
      <t xml:space="preserve">预产期：</t>
    </r>
    <r>
      <rPr>
        <sz val="11"/>
        <color rgb="FF7F8C8D"/>
        <rFont val="Arial"/>
        <family val="0"/>
        <charset val="1"/>
      </rPr>
      <t xml:space="preserve">2026</t>
    </r>
    <r>
      <rPr>
        <sz val="11"/>
        <color rgb="FF7F8C8D"/>
        <rFont val="DejaVu Sans"/>
        <family val="2"/>
      </rPr>
      <t xml:space="preserve">年</t>
    </r>
    <r>
      <rPr>
        <sz val="11"/>
        <color rgb="FF7F8C8D"/>
        <rFont val="Arial"/>
        <family val="0"/>
        <charset val="1"/>
      </rPr>
      <t xml:space="preserve">6</t>
    </r>
    <r>
      <rPr>
        <sz val="11"/>
        <color rgb="FF7F8C8D"/>
        <rFont val="DejaVu Sans"/>
        <family val="2"/>
      </rPr>
      <t xml:space="preserve">月底 </t>
    </r>
    <r>
      <rPr>
        <sz val="11"/>
        <color rgb="FF7F8C8D"/>
        <rFont val="Arial"/>
        <family val="0"/>
        <charset val="1"/>
      </rPr>
      <t xml:space="preserve">| </t>
    </r>
    <r>
      <rPr>
        <sz val="11"/>
        <color rgb="FF7F8C8D"/>
        <rFont val="DejaVu Sans"/>
        <family val="2"/>
      </rPr>
      <t xml:space="preserve">两居室公寓 </t>
    </r>
    <r>
      <rPr>
        <sz val="11"/>
        <color rgb="FF7F8C8D"/>
        <rFont val="Arial"/>
        <family val="0"/>
        <charset val="1"/>
      </rPr>
      <t xml:space="preserve">| </t>
    </r>
    <r>
      <rPr>
        <sz val="11"/>
        <color rgb="FF7F8C8D"/>
        <rFont val="DejaVu Sans"/>
        <family val="2"/>
      </rPr>
      <t xml:space="preserve">倒计时自动计算</t>
    </r>
  </si>
  <si>
    <t xml:space="preserve">今天日期</t>
  </si>
  <si>
    <t xml:space="preserve">预产期</t>
  </si>
  <si>
    <t xml:space="preserve">2026-06-30</t>
  </si>
  <si>
    <t xml:space="preserve">剩余天数</t>
  </si>
  <si>
    <t xml:space="preserve">剩余周数</t>
  </si>
  <si>
    <t xml:space="preserve">模块</t>
  </si>
  <si>
    <t xml:space="preserve">总任务数</t>
  </si>
  <si>
    <t xml:space="preserve">已完成</t>
  </si>
  <si>
    <t xml:space="preserve">完成率</t>
  </si>
  <si>
    <t xml:space="preserve">断舍离清理</t>
  </si>
  <si>
    <t xml:space="preserve">收纳优化</t>
  </si>
  <si>
    <t xml:space="preserve">宝宝用品准备</t>
  </si>
  <si>
    <t xml:space="preserve">空间改造</t>
  </si>
  <si>
    <t xml:space="preserve">总计</t>
  </si>
  <si>
    <r>
      <rPr>
        <b val="true"/>
        <sz val="12"/>
        <color rgb="FFFFFFFF"/>
        <rFont val="DejaVu Sans"/>
        <family val="2"/>
      </rPr>
      <t xml:space="preserve">物品</t>
    </r>
    <r>
      <rPr>
        <b val="true"/>
        <sz val="12"/>
        <color rgb="FFFFFFFF"/>
        <rFont val="Arial"/>
        <family val="0"/>
        <charset val="1"/>
      </rPr>
      <t xml:space="preserve">/</t>
    </r>
    <r>
      <rPr>
        <b val="true"/>
        <sz val="12"/>
        <color rgb="FFFFFFFF"/>
        <rFont val="DejaVu Sans"/>
        <family val="2"/>
      </rPr>
      <t xml:space="preserve">类别</t>
    </r>
  </si>
  <si>
    <t xml:space="preserve">所在位置</t>
  </si>
  <si>
    <r>
      <rPr>
        <b val="true"/>
        <sz val="12"/>
        <color rgb="FFFFFFFF"/>
        <rFont val="DejaVu Sans"/>
        <family val="2"/>
      </rPr>
      <t xml:space="preserve">数量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估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</si>
  <si>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处理方式</t>
  </si>
  <si>
    <t xml:space="preserve">状态</t>
  </si>
  <si>
    <t xml:space="preserve">备注</t>
  </si>
  <si>
    <t xml:space="preserve">【客厅】</t>
  </si>
  <si>
    <r>
      <rPr>
        <sz val="10"/>
        <rFont val="DejaVu Sans"/>
        <family val="2"/>
      </rPr>
      <t xml:space="preserve">过季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不穿的外套鞋子</t>
    </r>
  </si>
  <si>
    <r>
      <rPr>
        <sz val="10"/>
        <rFont val="DejaVu Sans"/>
        <family val="2"/>
      </rPr>
      <t xml:space="preserve">玄关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门口</t>
    </r>
  </si>
  <si>
    <r>
      <rPr>
        <sz val="10"/>
        <rFont val="Arial"/>
        <family val="0"/>
        <charset val="1"/>
      </rPr>
      <t xml:space="preserve">~15</t>
    </r>
    <r>
      <rPr>
        <sz val="10"/>
        <rFont val="DejaVu Sans"/>
        <family val="2"/>
      </rPr>
      <t xml:space="preserve">件</t>
    </r>
  </si>
  <si>
    <r>
      <rPr>
        <sz val="10"/>
        <rFont val="DejaVu Sans"/>
        <family val="2"/>
      </rPr>
      <t xml:space="preserve">捐赠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二手出售</t>
    </r>
  </si>
  <si>
    <t xml:space="preserve">未开始</t>
  </si>
  <si>
    <t xml:space="preserve">留下常穿的即可</t>
  </si>
  <si>
    <r>
      <rPr>
        <sz val="10"/>
        <rFont val="DejaVu Sans"/>
        <family val="2"/>
      </rPr>
      <t xml:space="preserve">旧杂志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报纸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快递盒</t>
    </r>
  </si>
  <si>
    <t xml:space="preserve">客厅角落</t>
  </si>
  <si>
    <t xml:space="preserve">一堆</t>
  </si>
  <si>
    <t xml:space="preserve">回收处理</t>
  </si>
  <si>
    <t xml:space="preserve">全部清掉</t>
  </si>
  <si>
    <t xml:space="preserve">不用的小家电</t>
  </si>
  <si>
    <t xml:space="preserve">柜子里</t>
  </si>
  <si>
    <r>
      <rPr>
        <sz val="10"/>
        <rFont val="Arial"/>
        <family val="0"/>
        <charset val="1"/>
      </rPr>
      <t xml:space="preserve">~3</t>
    </r>
    <r>
      <rPr>
        <sz val="10"/>
        <rFont val="DejaVu Sans"/>
        <family val="2"/>
      </rPr>
      <t xml:space="preserve">个</t>
    </r>
  </si>
  <si>
    <r>
      <rPr>
        <sz val="10"/>
        <rFont val="DejaVu Sans"/>
        <family val="2"/>
      </rPr>
      <t xml:space="preserve">二手出售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丢弃</t>
    </r>
  </si>
  <si>
    <t xml:space="preserve">烤面包机、榨汁机等</t>
  </si>
  <si>
    <r>
      <rPr>
        <sz val="10"/>
        <rFont val="DejaVu Sans"/>
        <family val="2"/>
      </rPr>
      <t xml:space="preserve">多余的装饰品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摆件</t>
    </r>
  </si>
  <si>
    <t xml:space="preserve">各处</t>
  </si>
  <si>
    <r>
      <rPr>
        <sz val="10"/>
        <rFont val="Arial"/>
        <family val="0"/>
        <charset val="1"/>
      </rPr>
      <t xml:space="preserve">~10</t>
    </r>
    <r>
      <rPr>
        <sz val="10"/>
        <rFont val="DejaVu Sans"/>
        <family val="2"/>
      </rPr>
      <t xml:space="preserve">件</t>
    </r>
  </si>
  <si>
    <r>
      <rPr>
        <sz val="10"/>
        <rFont val="DejaVu Sans"/>
        <family val="2"/>
      </rPr>
      <t xml:space="preserve">收起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送人</t>
    </r>
  </si>
  <si>
    <t xml:space="preserve">给宝宝腾出安全空间</t>
  </si>
  <si>
    <r>
      <rPr>
        <sz val="10"/>
        <rFont val="DejaVu Sans"/>
        <family val="2"/>
      </rPr>
      <t xml:space="preserve">过期药品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化妆品</t>
    </r>
  </si>
  <si>
    <t xml:space="preserve">抽屉</t>
  </si>
  <si>
    <t xml:space="preserve">丢弃</t>
  </si>
  <si>
    <t xml:space="preserve">检查保质期</t>
  </si>
  <si>
    <t xml:space="preserve">【主卧】</t>
  </si>
  <si>
    <t xml:space="preserve">换季衣物（两人）</t>
  </si>
  <si>
    <t xml:space="preserve">衣柜</t>
  </si>
  <si>
    <r>
      <rPr>
        <sz val="10"/>
        <rFont val="Arial"/>
        <family val="0"/>
        <charset val="1"/>
      </rPr>
      <t xml:space="preserve">~30</t>
    </r>
    <r>
      <rPr>
        <sz val="10"/>
        <rFont val="DejaVu Sans"/>
        <family val="2"/>
      </rPr>
      <t xml:space="preserve">件</t>
    </r>
  </si>
  <si>
    <r>
      <rPr>
        <sz val="10"/>
        <rFont val="DejaVu Sans"/>
        <family val="2"/>
      </rPr>
      <t xml:space="preserve">捐赠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真空袋收纳</t>
    </r>
  </si>
  <si>
    <t xml:space="preserve">一年没穿的果断处理</t>
  </si>
  <si>
    <r>
      <rPr>
        <sz val="10"/>
        <rFont val="DejaVu Sans"/>
        <family val="2"/>
      </rPr>
      <t xml:space="preserve">旧床品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枕头</t>
    </r>
  </si>
  <si>
    <t xml:space="preserve">柜顶</t>
  </si>
  <si>
    <r>
      <rPr>
        <sz val="10"/>
        <rFont val="Arial"/>
        <family val="0"/>
        <charset val="1"/>
      </rPr>
      <t xml:space="preserve">~5</t>
    </r>
    <r>
      <rPr>
        <sz val="10"/>
        <rFont val="DejaVu Sans"/>
        <family val="2"/>
      </rPr>
      <t xml:space="preserve">套</t>
    </r>
  </si>
  <si>
    <r>
      <rPr>
        <sz val="10"/>
        <rFont val="DejaVu Sans"/>
        <family val="2"/>
      </rPr>
      <t xml:space="preserve">只留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套好的</t>
    </r>
  </si>
  <si>
    <t xml:space="preserve">给宝宝床品腾空间</t>
  </si>
  <si>
    <t xml:space="preserve">书籍杂物</t>
  </si>
  <si>
    <t xml:space="preserve">床头柜</t>
  </si>
  <si>
    <t xml:space="preserve">整理归类</t>
  </si>
  <si>
    <t xml:space="preserve">【次卧→婴儿房】</t>
  </si>
  <si>
    <t xml:space="preserve">囤积的杂物箱</t>
  </si>
  <si>
    <t xml:space="preserve">次卧</t>
  </si>
  <si>
    <r>
      <rPr>
        <sz val="10"/>
        <rFont val="Arial"/>
        <family val="0"/>
        <charset val="1"/>
      </rPr>
      <t xml:space="preserve">~5</t>
    </r>
    <r>
      <rPr>
        <sz val="10"/>
        <rFont val="DejaVu Sans"/>
        <family val="2"/>
      </rPr>
      <t xml:space="preserve">箱</t>
    </r>
  </si>
  <si>
    <t xml:space="preserve">逐箱清理</t>
  </si>
  <si>
    <t xml:space="preserve">这里要变成宝宝的房间！</t>
  </si>
  <si>
    <t xml:space="preserve">不用的运动器材</t>
  </si>
  <si>
    <t xml:space="preserve">次卧角落</t>
  </si>
  <si>
    <r>
      <rPr>
        <sz val="10"/>
        <rFont val="DejaVu Sans"/>
        <family val="2"/>
      </rPr>
      <t xml:space="preserve">出售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送人</t>
    </r>
  </si>
  <si>
    <r>
      <rPr>
        <sz val="10"/>
        <rFont val="DejaVu Sans"/>
        <family val="2"/>
      </rPr>
      <t xml:space="preserve">旧电子设备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线材</t>
    </r>
  </si>
  <si>
    <t xml:space="preserve">电子回收</t>
  </si>
  <si>
    <r>
      <rPr>
        <b val="true"/>
        <sz val="11"/>
        <color rgb="FF2C3E50"/>
        <rFont val="DejaVu Sans"/>
        <family val="2"/>
      </rPr>
      <t xml:space="preserve">【厨房</t>
    </r>
    <r>
      <rPr>
        <b val="true"/>
        <sz val="11"/>
        <color rgb="FF2C3E50"/>
        <rFont val="Arial"/>
        <family val="0"/>
        <charset val="1"/>
      </rPr>
      <t xml:space="preserve">/</t>
    </r>
    <r>
      <rPr>
        <b val="true"/>
        <sz val="11"/>
        <color rgb="FF2C3E50"/>
        <rFont val="DejaVu Sans"/>
        <family val="2"/>
      </rPr>
      <t xml:space="preserve">卫浴】</t>
    </r>
  </si>
  <si>
    <r>
      <rPr>
        <sz val="10"/>
        <rFont val="DejaVu Sans"/>
        <family val="2"/>
      </rPr>
      <t xml:space="preserve">过期食品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调料</t>
    </r>
  </si>
  <si>
    <t xml:space="preserve">厨房</t>
  </si>
  <si>
    <t xml:space="preserve">多余的锅碗瓢盆</t>
  </si>
  <si>
    <t xml:space="preserve">橱柜</t>
  </si>
  <si>
    <t xml:space="preserve">只留常用的</t>
  </si>
  <si>
    <t xml:space="preserve">给奶瓶消毒器留位置</t>
  </si>
  <si>
    <r>
      <rPr>
        <sz val="10"/>
        <rFont val="DejaVu Sans"/>
        <family val="2"/>
      </rPr>
      <t xml:space="preserve">旧毛巾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浴巾</t>
    </r>
  </si>
  <si>
    <t xml:space="preserve">卫生间</t>
  </si>
  <si>
    <t xml:space="preserve">替换为新的</t>
  </si>
  <si>
    <t xml:space="preserve">宝宝需要专用毛巾</t>
  </si>
  <si>
    <r>
      <rPr>
        <b val="true"/>
        <sz val="12"/>
        <color rgb="FFFFFFFF"/>
        <rFont val="DejaVu Sans"/>
        <family val="2"/>
      </rPr>
      <t xml:space="preserve">区域</t>
    </r>
    <r>
      <rPr>
        <b val="true"/>
        <sz val="12"/>
        <color rgb="FFFFFFFF"/>
        <rFont val="Arial"/>
        <family val="0"/>
        <charset val="1"/>
      </rPr>
      <t xml:space="preserve">/</t>
    </r>
    <r>
      <rPr>
        <b val="true"/>
        <sz val="12"/>
        <color rgb="FFFFFFFF"/>
        <rFont val="DejaVu Sans"/>
        <family val="2"/>
      </rPr>
      <t xml:space="preserve">收纳方案</t>
    </r>
  </si>
  <si>
    <t xml:space="preserve">具体措施</t>
  </si>
  <si>
    <t xml:space="preserve">需要购买</t>
  </si>
  <si>
    <r>
      <rPr>
        <b val="true"/>
        <sz val="12"/>
        <color rgb="FFFFFFFF"/>
        <rFont val="DejaVu Sans"/>
        <family val="2"/>
      </rPr>
      <t xml:space="preserve">预算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元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</si>
  <si>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【玄关】</t>
  </si>
  <si>
    <t xml:space="preserve">鞋柜优化</t>
  </si>
  <si>
    <r>
      <rPr>
        <sz val="10"/>
        <rFont val="DejaVu Sans"/>
        <family val="2"/>
      </rPr>
      <t xml:space="preserve">用鞋架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收纳盒垂直存放，只放当季鞋</t>
    </r>
  </si>
  <si>
    <r>
      <rPr>
        <sz val="10"/>
        <rFont val="DejaVu Sans"/>
        <family val="2"/>
      </rPr>
      <t xml:space="preserve">可叠加鞋架 </t>
    </r>
    <r>
      <rPr>
        <sz val="10"/>
        <rFont val="Arial"/>
        <family val="0"/>
        <charset val="1"/>
      </rPr>
      <t xml:space="preserve">x2</t>
    </r>
  </si>
  <si>
    <t xml:space="preserve">清理后鞋子减半</t>
  </si>
  <si>
    <t xml:space="preserve">墙面挂钩</t>
  </si>
  <si>
    <r>
      <rPr>
        <sz val="10"/>
        <rFont val="DejaVu Sans"/>
        <family val="2"/>
      </rPr>
      <t xml:space="preserve">安装挂钩放钥匙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婴儿外出包</t>
    </r>
  </si>
  <si>
    <t xml:space="preserve">免钉挂钩组</t>
  </si>
  <si>
    <r>
      <rPr>
        <sz val="10"/>
        <rFont val="DejaVu Sans"/>
        <family val="2"/>
      </rPr>
      <t xml:space="preserve">电视柜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茶几下</t>
    </r>
  </si>
  <si>
    <t xml:space="preserve">用收纳篮归类遥控器、杂物</t>
  </si>
  <si>
    <r>
      <rPr>
        <sz val="10"/>
        <rFont val="DejaVu Sans"/>
        <family val="2"/>
      </rPr>
      <t xml:space="preserve">收纳篮 </t>
    </r>
    <r>
      <rPr>
        <sz val="10"/>
        <rFont val="Arial"/>
        <family val="0"/>
        <charset val="1"/>
      </rPr>
      <t xml:space="preserve">x3</t>
    </r>
  </si>
  <si>
    <t xml:space="preserve">以后放宝宝玩具</t>
  </si>
  <si>
    <t xml:space="preserve">沙发旁储物</t>
  </si>
  <si>
    <r>
      <rPr>
        <sz val="10"/>
        <rFont val="DejaVu Sans"/>
        <family val="2"/>
      </rPr>
      <t xml:space="preserve">小推车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边几带储物功能</t>
    </r>
  </si>
  <si>
    <t xml:space="preserve">三层小推车</t>
  </si>
  <si>
    <t xml:space="preserve">放尿布、湿巾等</t>
  </si>
  <si>
    <t xml:space="preserve">衣柜分区</t>
  </si>
  <si>
    <r>
      <rPr>
        <sz val="10"/>
        <rFont val="DejaVu Sans"/>
        <family val="2"/>
      </rPr>
      <t xml:space="preserve">加装分隔板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收纳盒，上层放换季衣物</t>
    </r>
  </si>
  <si>
    <r>
      <rPr>
        <sz val="10"/>
        <rFont val="DejaVu Sans"/>
        <family val="2"/>
      </rPr>
      <t xml:space="preserve">衣柜收纳盒 </t>
    </r>
    <r>
      <rPr>
        <sz val="10"/>
        <rFont val="Arial"/>
        <family val="0"/>
        <charset val="1"/>
      </rPr>
      <t xml:space="preserve">x4</t>
    </r>
  </si>
  <si>
    <t xml:space="preserve">给宝宝衣物留一层</t>
  </si>
  <si>
    <t xml:space="preserve">床下空间</t>
  </si>
  <si>
    <t xml:space="preserve">用床底收纳箱存放不常用物品</t>
  </si>
  <si>
    <r>
      <rPr>
        <sz val="10"/>
        <rFont val="DejaVu Sans"/>
        <family val="2"/>
      </rPr>
      <t xml:space="preserve">带轮床底箱 </t>
    </r>
    <r>
      <rPr>
        <sz val="10"/>
        <rFont val="Arial"/>
        <family val="0"/>
        <charset val="1"/>
      </rPr>
      <t xml:space="preserve">x2</t>
    </r>
  </si>
  <si>
    <t xml:space="preserve">床头整理</t>
  </si>
  <si>
    <r>
      <rPr>
        <sz val="10"/>
        <rFont val="DejaVu Sans"/>
        <family val="2"/>
      </rPr>
      <t xml:space="preserve">小收纳托盘放手机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水杯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夜灯</t>
    </r>
  </si>
  <si>
    <t xml:space="preserve">床头托盘</t>
  </si>
  <si>
    <t xml:space="preserve">夜间喂奶需要方便</t>
  </si>
  <si>
    <r>
      <rPr>
        <sz val="10"/>
        <rFont val="DejaVu Sans"/>
        <family val="2"/>
      </rPr>
      <t xml:space="preserve">婴儿衣柜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收纳</t>
    </r>
  </si>
  <si>
    <t xml:space="preserve">小型衣柜或收纳柜放宝宝衣物</t>
  </si>
  <si>
    <t xml:space="preserve">宝宝衣柜</t>
  </si>
  <si>
    <t xml:space="preserve">按尺码分类</t>
  </si>
  <si>
    <t xml:space="preserve">换尿布台上方</t>
  </si>
  <si>
    <t xml:space="preserve">安装搁板放尿布、护臀霜等</t>
  </si>
  <si>
    <r>
      <rPr>
        <sz val="10"/>
        <rFont val="DejaVu Sans"/>
        <family val="2"/>
      </rPr>
      <t xml:space="preserve">墙面搁板 </t>
    </r>
    <r>
      <rPr>
        <sz val="10"/>
        <rFont val="Arial"/>
        <family val="0"/>
        <charset val="1"/>
      </rPr>
      <t xml:space="preserve">x2</t>
    </r>
  </si>
  <si>
    <t xml:space="preserve">伸手可及的高度</t>
  </si>
  <si>
    <t xml:space="preserve">玩具收纳</t>
  </si>
  <si>
    <r>
      <rPr>
        <sz val="10"/>
        <rFont val="DejaVu Sans"/>
        <family val="2"/>
      </rPr>
      <t xml:space="preserve">矮柜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收纳筐，方便以后宝宝自己拿</t>
    </r>
  </si>
  <si>
    <r>
      <rPr>
        <sz val="10"/>
        <rFont val="DejaVu Sans"/>
        <family val="2"/>
      </rPr>
      <t xml:space="preserve">矮柜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筐</t>
    </r>
  </si>
  <si>
    <t xml:space="preserve">暂时放毯子等</t>
  </si>
  <si>
    <t xml:space="preserve">【厨房】</t>
  </si>
  <si>
    <t xml:space="preserve">橱柜内部</t>
  </si>
  <si>
    <t xml:space="preserve">加装置物架增加层数</t>
  </si>
  <si>
    <r>
      <rPr>
        <sz val="10"/>
        <rFont val="DejaVu Sans"/>
        <family val="2"/>
      </rPr>
      <t xml:space="preserve">橱柜置物架 </t>
    </r>
    <r>
      <rPr>
        <sz val="10"/>
        <rFont val="Arial"/>
        <family val="0"/>
        <charset val="1"/>
      </rPr>
      <t xml:space="preserve">x2</t>
    </r>
  </si>
  <si>
    <r>
      <rPr>
        <sz val="10"/>
        <rFont val="DejaVu Sans"/>
        <family val="2"/>
      </rPr>
      <t xml:space="preserve">给奶瓶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辅食工具留空间</t>
    </r>
  </si>
  <si>
    <t xml:space="preserve">冰箱收纳</t>
  </si>
  <si>
    <t xml:space="preserve">用透明收纳盒分类</t>
  </si>
  <si>
    <r>
      <rPr>
        <sz val="10"/>
        <rFont val="DejaVu Sans"/>
        <family val="2"/>
      </rPr>
      <t xml:space="preserve">冰箱收纳盒 </t>
    </r>
    <r>
      <rPr>
        <sz val="10"/>
        <rFont val="Arial"/>
        <family val="0"/>
        <charset val="1"/>
      </rPr>
      <t xml:space="preserve">x4</t>
    </r>
  </si>
  <si>
    <t xml:space="preserve">【卫浴】</t>
  </si>
  <si>
    <t xml:space="preserve">洗漱台下方</t>
  </si>
  <si>
    <r>
      <rPr>
        <sz val="10"/>
        <rFont val="DejaVu Sans"/>
        <family val="2"/>
      </rPr>
      <t xml:space="preserve">用伸缩架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收纳盒整理</t>
    </r>
  </si>
  <si>
    <t xml:space="preserve">水槽下置物架</t>
  </si>
  <si>
    <t xml:space="preserve">给宝宝洗浴用品留位置</t>
  </si>
  <si>
    <t xml:space="preserve">浴室墙面</t>
  </si>
  <si>
    <t xml:space="preserve">免打孔置物架</t>
  </si>
  <si>
    <t xml:space="preserve">浴室置物架</t>
  </si>
  <si>
    <t xml:space="preserve">收纳用品预算合计</t>
  </si>
  <si>
    <r>
      <rPr>
        <b val="true"/>
        <sz val="12"/>
        <color rgb="FFFFFFFF"/>
        <rFont val="DejaVu Sans"/>
        <family val="2"/>
      </rPr>
      <t xml:space="preserve">用品类别</t>
    </r>
    <r>
      <rPr>
        <b val="true"/>
        <sz val="12"/>
        <color rgb="FFFFFFFF"/>
        <rFont val="Arial"/>
        <family val="0"/>
        <charset val="1"/>
      </rPr>
      <t xml:space="preserve">/</t>
    </r>
    <r>
      <rPr>
        <b val="true"/>
        <sz val="12"/>
        <color rgb="FFFFFFFF"/>
        <rFont val="DejaVu Sans"/>
        <family val="2"/>
      </rPr>
      <t xml:space="preserve">物品</t>
    </r>
  </si>
  <si>
    <t xml:space="preserve">优先级</t>
  </si>
  <si>
    <t xml:space="preserve">数量</t>
  </si>
  <si>
    <r>
      <rPr>
        <b val="true"/>
        <sz val="12"/>
        <color rgb="FFFFFFFF"/>
        <rFont val="DejaVu Sans"/>
        <family val="2"/>
      </rPr>
      <t xml:space="preserve">购买渠道</t>
    </r>
    <r>
      <rPr>
        <b val="true"/>
        <sz val="12"/>
        <color rgb="FFFFFFFF"/>
        <rFont val="Arial"/>
        <family val="0"/>
        <charset val="1"/>
      </rPr>
      <t xml:space="preserve">/</t>
    </r>
    <r>
      <rPr>
        <b val="true"/>
        <sz val="12"/>
        <color rgb="FFFFFFFF"/>
        <rFont val="DejaVu Sans"/>
        <family val="2"/>
      </rPr>
      <t xml:space="preserve">备注</t>
    </r>
  </si>
  <si>
    <t xml:space="preserve">【睡眠】</t>
  </si>
  <si>
    <t xml:space="preserve">婴儿床（可选床中床）</t>
  </si>
  <si>
    <t xml:space="preserve">必备</t>
  </si>
  <si>
    <t xml:space="preserve">次卧放置，注意安全标准</t>
  </si>
  <si>
    <t xml:space="preserve">婴儿床垫</t>
  </si>
  <si>
    <t xml:space="preserve">要硬一些的，安全</t>
  </si>
  <si>
    <t xml:space="preserve">婴儿床品套装</t>
  </si>
  <si>
    <t xml:space="preserve">纯棉，多备一套换洗</t>
  </si>
  <si>
    <t xml:space="preserve">睡袋</t>
  </si>
  <si>
    <t xml:space="preserve">根据季节选薄款</t>
  </si>
  <si>
    <t xml:space="preserve">遮光窗帘</t>
  </si>
  <si>
    <t xml:space="preserve">推荐</t>
  </si>
  <si>
    <t xml:space="preserve">帮助宝宝白天睡觉</t>
  </si>
  <si>
    <t xml:space="preserve">【喂养】</t>
  </si>
  <si>
    <t xml:space="preserve">奶瓶（宽口径）</t>
  </si>
  <si>
    <r>
      <rPr>
        <sz val="10"/>
        <rFont val="DejaVu Sans"/>
        <family val="2"/>
      </rPr>
      <t xml:space="preserve">大小各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个</t>
    </r>
  </si>
  <si>
    <t xml:space="preserve">奶瓶消毒器</t>
  </si>
  <si>
    <t xml:space="preserve">吸奶器</t>
  </si>
  <si>
    <t xml:space="preserve">电动双边推荐</t>
  </si>
  <si>
    <t xml:space="preserve">储奶袋</t>
  </si>
  <si>
    <t xml:space="preserve">一盒起步</t>
  </si>
  <si>
    <t xml:space="preserve">奶瓶刷</t>
  </si>
  <si>
    <t xml:space="preserve">哺乳枕</t>
  </si>
  <si>
    <t xml:space="preserve">减轻妈妈负担</t>
  </si>
  <si>
    <t xml:space="preserve">【穿着】</t>
  </si>
  <si>
    <r>
      <rPr>
        <sz val="10"/>
        <rFont val="DejaVu Sans"/>
        <family val="2"/>
      </rPr>
      <t xml:space="preserve">新生儿连体衣（</t>
    </r>
    <r>
      <rPr>
        <sz val="10"/>
        <rFont val="Arial"/>
        <family val="0"/>
        <charset val="1"/>
      </rPr>
      <t xml:space="preserve">52-59</t>
    </r>
    <r>
      <rPr>
        <sz val="10"/>
        <rFont val="DejaVu Sans"/>
        <family val="2"/>
      </rPr>
      <t xml:space="preserve">码）</t>
    </r>
  </si>
  <si>
    <t xml:space="preserve">纯棉，开裆扣方便换尿布</t>
  </si>
  <si>
    <r>
      <rPr>
        <sz val="10"/>
        <rFont val="DejaVu Sans"/>
        <family val="2"/>
      </rPr>
      <t xml:space="preserve">包被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襁褓</t>
    </r>
  </si>
  <si>
    <t xml:space="preserve">夏天薄款</t>
  </si>
  <si>
    <r>
      <rPr>
        <sz val="10"/>
        <rFont val="DejaVu Sans"/>
        <family val="2"/>
      </rPr>
      <t xml:space="preserve">帽子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袜子</t>
    </r>
  </si>
  <si>
    <r>
      <rPr>
        <sz val="10"/>
        <rFont val="DejaVu Sans"/>
        <family val="2"/>
      </rPr>
      <t xml:space="preserve">口水巾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围嘴</t>
    </r>
  </si>
  <si>
    <t xml:space="preserve">【洗护】</t>
  </si>
  <si>
    <t xml:space="preserve">婴儿浴盆</t>
  </si>
  <si>
    <t xml:space="preserve">可折叠款省空间</t>
  </si>
  <si>
    <r>
      <rPr>
        <sz val="10"/>
        <rFont val="DejaVu Sans"/>
        <family val="2"/>
      </rPr>
      <t xml:space="preserve">婴儿沐浴露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洗发水</t>
    </r>
  </si>
  <si>
    <t xml:space="preserve">温和无泪配方</t>
  </si>
  <si>
    <t xml:space="preserve">婴儿润肤霜</t>
  </si>
  <si>
    <t xml:space="preserve">婴儿指甲剪</t>
  </si>
  <si>
    <t xml:space="preserve">婴儿棉柔巾</t>
  </si>
  <si>
    <t xml:space="preserve">比湿巾更安全</t>
  </si>
  <si>
    <t xml:space="preserve">【出行】</t>
  </si>
  <si>
    <t xml:space="preserve">婴儿推车</t>
  </si>
  <si>
    <t xml:space="preserve">轻便可折叠优先</t>
  </si>
  <si>
    <t xml:space="preserve">汽车安全座椅</t>
  </si>
  <si>
    <r>
      <rPr>
        <sz val="10"/>
        <rFont val="Arial"/>
        <family val="0"/>
        <charset val="1"/>
      </rPr>
      <t xml:space="preserve">0-4</t>
    </r>
    <r>
      <rPr>
        <sz val="10"/>
        <rFont val="DejaVu Sans"/>
        <family val="2"/>
      </rPr>
      <t xml:space="preserve">岁款</t>
    </r>
  </si>
  <si>
    <t xml:space="preserve">妈咪包</t>
  </si>
  <si>
    <t xml:space="preserve">大容量多隔层</t>
  </si>
  <si>
    <r>
      <rPr>
        <b val="true"/>
        <sz val="11"/>
        <color rgb="FF2C3E50"/>
        <rFont val="DejaVu Sans"/>
        <family val="2"/>
      </rPr>
      <t xml:space="preserve">【护理</t>
    </r>
    <r>
      <rPr>
        <b val="true"/>
        <sz val="11"/>
        <color rgb="FF2C3E50"/>
        <rFont val="Arial"/>
        <family val="0"/>
        <charset val="1"/>
      </rPr>
      <t xml:space="preserve">/</t>
    </r>
    <r>
      <rPr>
        <b val="true"/>
        <sz val="11"/>
        <color rgb="FF2C3E50"/>
        <rFont val="DejaVu Sans"/>
        <family val="2"/>
      </rPr>
      <t xml:space="preserve">安全】</t>
    </r>
  </si>
  <si>
    <r>
      <rPr>
        <sz val="10"/>
        <rFont val="DejaVu Sans"/>
        <family val="2"/>
      </rPr>
      <t xml:space="preserve">纸尿裤（</t>
    </r>
    <r>
      <rPr>
        <sz val="10"/>
        <rFont val="Arial"/>
        <family val="0"/>
        <charset val="1"/>
      </rPr>
      <t xml:space="preserve">NB+S</t>
    </r>
    <r>
      <rPr>
        <sz val="10"/>
        <rFont val="DejaVu Sans"/>
        <family val="2"/>
      </rPr>
      <t xml:space="preserve">码）</t>
    </r>
  </si>
  <si>
    <t xml:space="preserve">先少买试用</t>
  </si>
  <si>
    <t xml:space="preserve">护臀霜</t>
  </si>
  <si>
    <t xml:space="preserve">体温计（耳温枪）</t>
  </si>
  <si>
    <t xml:space="preserve">婴儿监护器</t>
  </si>
  <si>
    <t xml:space="preserve">两居室推荐</t>
  </si>
  <si>
    <t xml:space="preserve">插座保护盖</t>
  </si>
  <si>
    <t xml:space="preserve">全屋安装</t>
  </si>
  <si>
    <t xml:space="preserve">柜角防撞条</t>
  </si>
  <si>
    <t xml:space="preserve">宝宝用品预算合计</t>
  </si>
  <si>
    <t xml:space="preserve">任务</t>
  </si>
  <si>
    <t xml:space="preserve">负责人</t>
  </si>
  <si>
    <t xml:space="preserve">目标日期</t>
  </si>
  <si>
    <r>
      <rPr>
        <b val="true"/>
        <sz val="11"/>
        <color rgb="FF2C3E50"/>
        <rFont val="DejaVu Sans"/>
        <family val="2"/>
      </rPr>
      <t xml:space="preserve">【第</t>
    </r>
    <r>
      <rPr>
        <b val="true"/>
        <sz val="11"/>
        <color rgb="FF2C3E50"/>
        <rFont val="Arial"/>
        <family val="0"/>
        <charset val="1"/>
      </rPr>
      <t xml:space="preserve">1</t>
    </r>
    <r>
      <rPr>
        <b val="true"/>
        <sz val="11"/>
        <color rgb="FF2C3E50"/>
        <rFont val="DejaVu Sans"/>
        <family val="2"/>
      </rPr>
      <t xml:space="preserve">阶段：</t>
    </r>
    <r>
      <rPr>
        <b val="true"/>
        <sz val="11"/>
        <color rgb="FF2C3E50"/>
        <rFont val="Arial"/>
        <family val="0"/>
        <charset val="1"/>
      </rPr>
      <t xml:space="preserve">3</t>
    </r>
    <r>
      <rPr>
        <b val="true"/>
        <sz val="11"/>
        <color rgb="FF2C3E50"/>
        <rFont val="DejaVu Sans"/>
        <family val="2"/>
      </rPr>
      <t xml:space="preserve">月下旬</t>
    </r>
    <r>
      <rPr>
        <b val="true"/>
        <sz val="11"/>
        <color rgb="FF2C3E50"/>
        <rFont val="Arial"/>
        <family val="0"/>
        <charset val="1"/>
      </rPr>
      <t xml:space="preserve">-4</t>
    </r>
    <r>
      <rPr>
        <b val="true"/>
        <sz val="11"/>
        <color rgb="FF2C3E50"/>
        <rFont val="DejaVu Sans"/>
        <family val="2"/>
      </rPr>
      <t xml:space="preserve">月中 — 断舍离】</t>
    </r>
  </si>
  <si>
    <t xml:space="preserve">全屋物品盘点拍照</t>
  </si>
  <si>
    <t xml:space="preserve">一起</t>
  </si>
  <si>
    <t xml:space="preserve">2026-04-01</t>
  </si>
  <si>
    <t xml:space="preserve">高</t>
  </si>
  <si>
    <t xml:space="preserve">拍照记录现状</t>
  </si>
  <si>
    <t xml:space="preserve">客厅杂物清理</t>
  </si>
  <si>
    <t xml:space="preserve">2026-04-05</t>
  </si>
  <si>
    <r>
      <rPr>
        <sz val="10"/>
        <rFont val="DejaVu Sans"/>
        <family val="2"/>
      </rPr>
      <t xml:space="preserve">参考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断舍离计划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表</t>
    </r>
  </si>
  <si>
    <t xml:space="preserve">主卧衣柜清理</t>
  </si>
  <si>
    <t xml:space="preserve">各自负责</t>
  </si>
  <si>
    <t xml:space="preserve">2026-04-10</t>
  </si>
  <si>
    <t xml:space="preserve">一人一天集中处理</t>
  </si>
  <si>
    <t xml:space="preserve">次卧彻底清空</t>
  </si>
  <si>
    <t xml:space="preserve">2026-04-15</t>
  </si>
  <si>
    <t xml:space="preserve">这里要变婴儿房！</t>
  </si>
  <si>
    <t xml:space="preserve">厨房卫浴清理</t>
  </si>
  <si>
    <t xml:space="preserve">中</t>
  </si>
  <si>
    <r>
      <rPr>
        <sz val="10"/>
        <rFont val="DejaVu Sans"/>
        <family val="2"/>
      </rPr>
      <t xml:space="preserve">处理二手物品（出售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捐赠）</t>
    </r>
  </si>
  <si>
    <t xml:space="preserve">爸爸</t>
  </si>
  <si>
    <t xml:space="preserve">2026-04-20</t>
  </si>
  <si>
    <r>
      <rPr>
        <sz val="10"/>
        <rFont val="DejaVu Sans"/>
        <family val="2"/>
      </rPr>
      <t xml:space="preserve">闲鱼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小区群</t>
    </r>
  </si>
  <si>
    <r>
      <rPr>
        <b val="true"/>
        <sz val="11"/>
        <color rgb="FF2C3E50"/>
        <rFont val="DejaVu Sans"/>
        <family val="2"/>
      </rPr>
      <t xml:space="preserve">【第</t>
    </r>
    <r>
      <rPr>
        <b val="true"/>
        <sz val="11"/>
        <color rgb="FF2C3E50"/>
        <rFont val="Arial"/>
        <family val="0"/>
        <charset val="1"/>
      </rPr>
      <t xml:space="preserve">2</t>
    </r>
    <r>
      <rPr>
        <b val="true"/>
        <sz val="11"/>
        <color rgb="FF2C3E50"/>
        <rFont val="DejaVu Sans"/>
        <family val="2"/>
      </rPr>
      <t xml:space="preserve">阶段：</t>
    </r>
    <r>
      <rPr>
        <b val="true"/>
        <sz val="11"/>
        <color rgb="FF2C3E50"/>
        <rFont val="Arial"/>
        <family val="0"/>
        <charset val="1"/>
      </rPr>
      <t xml:space="preserve">4</t>
    </r>
    <r>
      <rPr>
        <b val="true"/>
        <sz val="11"/>
        <color rgb="FF2C3E50"/>
        <rFont val="DejaVu Sans"/>
        <family val="2"/>
      </rPr>
      <t xml:space="preserve">月中</t>
    </r>
    <r>
      <rPr>
        <b val="true"/>
        <sz val="11"/>
        <color rgb="FF2C3E50"/>
        <rFont val="Arial"/>
        <family val="0"/>
        <charset val="1"/>
      </rPr>
      <t xml:space="preserve">-5</t>
    </r>
    <r>
      <rPr>
        <b val="true"/>
        <sz val="11"/>
        <color rgb="FF2C3E50"/>
        <rFont val="DejaVu Sans"/>
        <family val="2"/>
      </rPr>
      <t xml:space="preserve">月中 — 收纳改造】</t>
    </r>
  </si>
  <si>
    <t xml:space="preserve">购买收纳用品</t>
  </si>
  <si>
    <t xml:space="preserve">妈妈</t>
  </si>
  <si>
    <t xml:space="preserve">2026-04-25</t>
  </si>
  <si>
    <r>
      <rPr>
        <sz val="10"/>
        <rFont val="DejaVu Sans"/>
        <family val="2"/>
      </rPr>
      <t xml:space="preserve">参考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收纳方案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表</t>
    </r>
  </si>
  <si>
    <t xml:space="preserve">玄关收纳安装</t>
  </si>
  <si>
    <t xml:space="preserve">2026-04-30</t>
  </si>
  <si>
    <t xml:space="preserve">挂钩、鞋架</t>
  </si>
  <si>
    <t xml:space="preserve">主卧衣柜重新整理</t>
  </si>
  <si>
    <t xml:space="preserve">2026-05-01</t>
  </si>
  <si>
    <t xml:space="preserve">腾出宝宝衣物空间</t>
  </si>
  <si>
    <t xml:space="preserve">客厅收纳优化</t>
  </si>
  <si>
    <t xml:space="preserve">2026-05-05</t>
  </si>
  <si>
    <t xml:space="preserve">收纳篮、小推车</t>
  </si>
  <si>
    <t xml:space="preserve">厨房卫浴收纳安装</t>
  </si>
  <si>
    <t xml:space="preserve">2026-05-10</t>
  </si>
  <si>
    <t xml:space="preserve">置物架等</t>
  </si>
  <si>
    <r>
      <rPr>
        <b val="true"/>
        <sz val="11"/>
        <color rgb="FF2C3E50"/>
        <rFont val="DejaVu Sans"/>
        <family val="2"/>
      </rPr>
      <t xml:space="preserve">【第</t>
    </r>
    <r>
      <rPr>
        <b val="true"/>
        <sz val="11"/>
        <color rgb="FF2C3E50"/>
        <rFont val="Arial"/>
        <family val="0"/>
        <charset val="1"/>
      </rPr>
      <t xml:space="preserve">3</t>
    </r>
    <r>
      <rPr>
        <b val="true"/>
        <sz val="11"/>
        <color rgb="FF2C3E50"/>
        <rFont val="DejaVu Sans"/>
        <family val="2"/>
      </rPr>
      <t xml:space="preserve">阶段：</t>
    </r>
    <r>
      <rPr>
        <b val="true"/>
        <sz val="11"/>
        <color rgb="FF2C3E50"/>
        <rFont val="Arial"/>
        <family val="0"/>
        <charset val="1"/>
      </rPr>
      <t xml:space="preserve">5</t>
    </r>
    <r>
      <rPr>
        <b val="true"/>
        <sz val="11"/>
        <color rgb="FF2C3E50"/>
        <rFont val="DejaVu Sans"/>
        <family val="2"/>
      </rPr>
      <t xml:space="preserve">月中</t>
    </r>
    <r>
      <rPr>
        <b val="true"/>
        <sz val="11"/>
        <color rgb="FF2C3E50"/>
        <rFont val="Arial"/>
        <family val="0"/>
        <charset val="1"/>
      </rPr>
      <t xml:space="preserve">-6</t>
    </r>
    <r>
      <rPr>
        <b val="true"/>
        <sz val="11"/>
        <color rgb="FF2C3E50"/>
        <rFont val="DejaVu Sans"/>
        <family val="2"/>
      </rPr>
      <t xml:space="preserve">月初 — 婴儿房布置】</t>
    </r>
  </si>
  <si>
    <r>
      <rPr>
        <sz val="10"/>
        <rFont val="DejaVu Sans"/>
        <family val="2"/>
      </rPr>
      <t xml:space="preserve">婴儿房刷墙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通风（如需要）</t>
    </r>
  </si>
  <si>
    <t xml:space="preserve">2026-05-15</t>
  </si>
  <si>
    <r>
      <rPr>
        <sz val="10"/>
        <rFont val="DejaVu Sans"/>
        <family val="2"/>
      </rPr>
      <t xml:space="preserve">至少提前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周通风</t>
    </r>
  </si>
  <si>
    <t xml:space="preserve">婴儿床到货安装</t>
  </si>
  <si>
    <t xml:space="preserve">2026-05-20</t>
  </si>
  <si>
    <r>
      <rPr>
        <sz val="10"/>
        <rFont val="DejaVu Sans"/>
        <family val="2"/>
      </rPr>
      <t xml:space="preserve">婴儿衣柜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收纳柜安装</t>
    </r>
  </si>
  <si>
    <t xml:space="preserve">2026-05-22</t>
  </si>
  <si>
    <t xml:space="preserve">换尿布区域布置</t>
  </si>
  <si>
    <t xml:space="preserve">2026-05-25</t>
  </si>
  <si>
    <r>
      <rPr>
        <sz val="10"/>
        <rFont val="DejaVu Sans"/>
        <family val="2"/>
      </rPr>
      <t xml:space="preserve">尿布台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搁板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用品</t>
    </r>
  </si>
  <si>
    <t xml:space="preserve">全屋安全检查</t>
  </si>
  <si>
    <t xml:space="preserve">2026-05-28</t>
  </si>
  <si>
    <t xml:space="preserve">插座盖、防撞条等</t>
  </si>
  <si>
    <t xml:space="preserve">遮光窗帘安装</t>
  </si>
  <si>
    <t xml:space="preserve">2026-05-30</t>
  </si>
  <si>
    <r>
      <rPr>
        <b val="true"/>
        <sz val="11"/>
        <color rgb="FF2C3E50"/>
        <rFont val="DejaVu Sans"/>
        <family val="2"/>
      </rPr>
      <t xml:space="preserve">【第</t>
    </r>
    <r>
      <rPr>
        <b val="true"/>
        <sz val="11"/>
        <color rgb="FF2C3E50"/>
        <rFont val="Arial"/>
        <family val="0"/>
        <charset val="1"/>
      </rPr>
      <t xml:space="preserve">4</t>
    </r>
    <r>
      <rPr>
        <b val="true"/>
        <sz val="11"/>
        <color rgb="FF2C3E50"/>
        <rFont val="DejaVu Sans"/>
        <family val="2"/>
      </rPr>
      <t xml:space="preserve">阶段：</t>
    </r>
    <r>
      <rPr>
        <b val="true"/>
        <sz val="11"/>
        <color rgb="FF2C3E50"/>
        <rFont val="Arial"/>
        <family val="0"/>
        <charset val="1"/>
      </rPr>
      <t xml:space="preserve">6</t>
    </r>
    <r>
      <rPr>
        <b val="true"/>
        <sz val="11"/>
        <color rgb="FF2C3E50"/>
        <rFont val="DejaVu Sans"/>
        <family val="2"/>
      </rPr>
      <t xml:space="preserve">月 — 最终准备】</t>
    </r>
  </si>
  <si>
    <t xml:space="preserve">待产包准备</t>
  </si>
  <si>
    <t xml:space="preserve">2026-06-05</t>
  </si>
  <si>
    <r>
      <rPr>
        <sz val="10"/>
        <rFont val="DejaVu Sans"/>
        <family val="2"/>
      </rPr>
      <t xml:space="preserve">妈妈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宝宝用品</t>
    </r>
  </si>
  <si>
    <t xml:space="preserve">宝宝衣物清洗</t>
  </si>
  <si>
    <t xml:space="preserve">2026-06-08</t>
  </si>
  <si>
    <t xml:space="preserve">专用婴儿洗衣液</t>
  </si>
  <si>
    <t xml:space="preserve">全屋大扫除</t>
  </si>
  <si>
    <t xml:space="preserve">2026-06-12</t>
  </si>
  <si>
    <t xml:space="preserve">请钟点工帮忙</t>
  </si>
  <si>
    <t xml:space="preserve">婴儿监护器测试</t>
  </si>
  <si>
    <t xml:space="preserve">2026-06-15</t>
  </si>
  <si>
    <r>
      <rPr>
        <sz val="10"/>
        <rFont val="DejaVu Sans"/>
        <family val="2"/>
      </rPr>
      <t xml:space="preserve">模拟演练（喂奶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换尿布动线）</t>
    </r>
  </si>
  <si>
    <t xml:space="preserve">2026-06-18</t>
  </si>
  <si>
    <t xml:space="preserve">熟悉流程和物品位置</t>
  </si>
  <si>
    <t xml:space="preserve">最终检查 — 一切就绪！</t>
  </si>
  <si>
    <t xml:space="preserve">2026-06-22</t>
  </si>
  <si>
    <t xml:space="preserve">留出一周缓冲</t>
  </si>
  <si>
    <t xml:space="preserve">迎接宝宝 — 预算汇总</t>
  </si>
  <si>
    <t xml:space="preserve">支出类别</t>
  </si>
  <si>
    <r>
      <rPr>
        <b val="true"/>
        <sz val="11"/>
        <color rgb="FFFFFFFF"/>
        <rFont val="DejaVu Sans"/>
        <family val="2"/>
      </rPr>
      <t xml:space="preserve">预算金额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元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</si>
  <si>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实际花费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元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</si>
  <si>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差额</t>
  </si>
  <si>
    <t xml:space="preserve">收纳用品</t>
  </si>
  <si>
    <t xml:space="preserve">宝宝用品</t>
  </si>
  <si>
    <t xml:space="preserve">婴儿房改造（刷墙等）</t>
  </si>
  <si>
    <r>
      <rPr>
        <sz val="10"/>
        <rFont val="DejaVu Sans"/>
        <family val="2"/>
      </rPr>
      <t xml:space="preserve">大扫除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钟点工</t>
    </r>
  </si>
  <si>
    <r>
      <rPr>
        <sz val="10"/>
        <rFont val="DejaVu Sans"/>
        <family val="2"/>
      </rPr>
      <t xml:space="preserve">其他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应急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</si>
</sst>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"/>
    <numFmt numFmtId="167" formatCode="0.0"/>
    <numFmt numFmtId="168" formatCode="0%"/>
    <numFmt numFmtId="169" formatCode="\¥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sz val="11"/>
      <color rgb="FF7F8C8D"/>
      <name val="DejaVu Sans"/>
      <family val="2"/>
    </font>
    <font>
      <sz val="11"/>
      <color rgb="FF7F8C8D"/>
      <name val="Arial"/>
      <family val="0"/>
      <charset val="1"/>
    </font>
    <font>
      <b val="true"/>
      <sz val="10"/>
      <name val="DejaVu Sans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E74C3C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DejaVu Sans"/>
      <family val="2"/>
    </font>
    <font>
      <b val="true"/>
      <sz val="12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11"/>
      <color rgb="FF2C3E50"/>
      <name val="DejaVu Sans"/>
      <family val="2"/>
    </font>
    <font>
      <b val="true"/>
      <sz val="11"/>
      <color rgb="FF2C3E5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3498DB"/>
        <bgColor rgb="FF33CCCC"/>
      </patternFill>
    </fill>
    <fill>
      <patternFill patternType="solid">
        <fgColor rgb="FFECF0F1"/>
        <bgColor rgb="FFFEF9E7"/>
      </patternFill>
    </fill>
    <fill>
      <patternFill patternType="solid">
        <fgColor rgb="FFFADBD8"/>
        <bgColor rgb="FFECF0F1"/>
      </patternFill>
    </fill>
    <fill>
      <patternFill patternType="solid">
        <fgColor rgb="FFFEF9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EF9E7"/>
      <rgbColor rgb="FFECF0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BD8"/>
      <rgbColor rgb="FF3498DB"/>
      <rgbColor rgb="FF33CCCC"/>
      <rgbColor rgb="FF99CC00"/>
      <rgbColor rgb="FFFFCC00"/>
      <rgbColor rgb="FFF39C12"/>
      <rgbColor rgb="FFE74C3C"/>
      <rgbColor rgb="FF9B59B6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6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n">
        <f aca="true">TODAY()</f>
        <v>46103</v>
      </c>
    </row>
    <row r="5" customFormat="false" ht="15" hidden="false" customHeight="false" outlineLevel="0" collapsed="false">
      <c r="A5" s="3" t="s">
        <v>3</v>
      </c>
      <c r="B5" s="5" t="s">
        <v>4</v>
      </c>
    </row>
    <row r="6" customFormat="false" ht="17.35" hidden="false" customHeight="false" outlineLevel="0" collapsed="false">
      <c r="A6" s="3" t="s">
        <v>5</v>
      </c>
      <c r="B6" s="6" t="n">
        <f aca="false">B5-B4</f>
        <v>100</v>
      </c>
    </row>
    <row r="7" customFormat="false" ht="17.35" hidden="false" customHeight="false" outlineLevel="0" collapsed="false">
      <c r="A7" s="3" t="s">
        <v>6</v>
      </c>
      <c r="B7" s="7" t="n">
        <f aca="false">ROUND(B6/7,1)</f>
        <v>14.3</v>
      </c>
    </row>
    <row r="9" customFormat="false" ht="15" hidden="false" customHeight="false" outlineLevel="0" collapsed="false">
      <c r="A9" s="8" t="s">
        <v>7</v>
      </c>
      <c r="B9" s="8" t="s">
        <v>8</v>
      </c>
      <c r="C9" s="8" t="s">
        <v>9</v>
      </c>
      <c r="D9" s="8" t="s">
        <v>10</v>
      </c>
    </row>
    <row r="10" customFormat="false" ht="15" hidden="false" customHeight="false" outlineLevel="0" collapsed="false">
      <c r="A10" s="9" t="s">
        <v>11</v>
      </c>
      <c r="B10" s="9" t="n">
        <f aca="false">COUNTA(断舍离计划!A:A)-2</f>
        <v>17</v>
      </c>
      <c r="C10" s="9" t="n">
        <f aca="false">COUNTIF(断舍离计划!$E:$E,"已完成")</f>
        <v>0</v>
      </c>
      <c r="D10" s="10" t="n">
        <f aca="false">IF(B10=0,0,C10/B10)</f>
        <v>0</v>
      </c>
    </row>
    <row r="11" customFormat="false" ht="15" hidden="false" customHeight="false" outlineLevel="0" collapsed="false">
      <c r="A11" s="9" t="s">
        <v>12</v>
      </c>
      <c r="B11" s="9" t="n">
        <f aca="false">COUNTA(收纳方案!A:A)-2</f>
        <v>20</v>
      </c>
      <c r="C11" s="9" t="n">
        <f aca="false">COUNTIF(收纳方案!$E:$E,"已完成")</f>
        <v>0</v>
      </c>
      <c r="D11" s="10" t="n">
        <f aca="false">IF(B11=0,0,C11/B11)</f>
        <v>0</v>
      </c>
    </row>
    <row r="12" customFormat="false" ht="15" hidden="false" customHeight="false" outlineLevel="0" collapsed="false">
      <c r="A12" s="9" t="s">
        <v>13</v>
      </c>
      <c r="B12" s="9" t="n">
        <f aca="false">COUNTA(宝宝用品清单!A:A)-2</f>
        <v>35</v>
      </c>
      <c r="C12" s="9" t="n">
        <f aca="false">COUNTIF(宝宝用品清单!$E:$E,"已完成")</f>
        <v>0</v>
      </c>
      <c r="D12" s="10" t="n">
        <f aca="false">IF(B12=0,0,C12/B12)</f>
        <v>0</v>
      </c>
    </row>
    <row r="13" customFormat="false" ht="15" hidden="false" customHeight="false" outlineLevel="0" collapsed="false">
      <c r="A13" s="9" t="s">
        <v>14</v>
      </c>
      <c r="B13" s="9" t="n">
        <f aca="false">COUNTA(空间改造时间线!A:A)-2</f>
        <v>26</v>
      </c>
      <c r="C13" s="9" t="n">
        <f aca="false">COUNTIF(空间改造时间线!$E:$E,"已完成")</f>
        <v>0</v>
      </c>
      <c r="D13" s="10" t="n">
        <f aca="false">IF(B13=0,0,C13/B13)</f>
        <v>0</v>
      </c>
    </row>
    <row r="14" customFormat="false" ht="15" hidden="false" customHeight="false" outlineLevel="0" collapsed="false">
      <c r="A14" s="3" t="s">
        <v>15</v>
      </c>
      <c r="B14" s="11" t="n">
        <f aca="false">SUM(B10:B13)</f>
        <v>98</v>
      </c>
      <c r="C14" s="11" t="n">
        <f aca="false">SUM(C10:C13)</f>
        <v>0</v>
      </c>
      <c r="D14" s="12" t="n">
        <f aca="false">IF(B14=0,0,C14/B14)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3" t="s">
        <v>16</v>
      </c>
      <c r="B1" s="13" t="s">
        <v>17</v>
      </c>
      <c r="C1" s="13" t="s">
        <v>18</v>
      </c>
      <c r="D1" s="13" t="s">
        <v>19</v>
      </c>
      <c r="E1" s="13" t="s">
        <v>20</v>
      </c>
      <c r="F1" s="13" t="s">
        <v>21</v>
      </c>
    </row>
    <row r="2" customFormat="false" ht="15" hidden="false" customHeight="false" outlineLevel="0" collapsed="false">
      <c r="A2" s="14" t="s">
        <v>22</v>
      </c>
      <c r="B2" s="14"/>
      <c r="C2" s="14"/>
      <c r="D2" s="15"/>
      <c r="E2" s="15"/>
      <c r="F2" s="14"/>
    </row>
    <row r="3" customFormat="false" ht="15" hidden="false" customHeight="false" outlineLevel="0" collapsed="false">
      <c r="A3" s="16" t="s">
        <v>23</v>
      </c>
      <c r="B3" s="16" t="s">
        <v>24</v>
      </c>
      <c r="C3" s="17" t="s">
        <v>25</v>
      </c>
      <c r="D3" s="16" t="s">
        <v>26</v>
      </c>
      <c r="E3" s="16" t="s">
        <v>27</v>
      </c>
      <c r="F3" s="16" t="s">
        <v>28</v>
      </c>
    </row>
    <row r="4" customFormat="false" ht="15" hidden="false" customHeight="false" outlineLevel="0" collapsed="false">
      <c r="A4" s="16" t="s">
        <v>29</v>
      </c>
      <c r="B4" s="16" t="s">
        <v>30</v>
      </c>
      <c r="C4" s="16" t="s">
        <v>31</v>
      </c>
      <c r="D4" s="16" t="s">
        <v>32</v>
      </c>
      <c r="E4" s="16" t="s">
        <v>27</v>
      </c>
      <c r="F4" s="16" t="s">
        <v>33</v>
      </c>
    </row>
    <row r="5" customFormat="false" ht="15" hidden="false" customHeight="false" outlineLevel="0" collapsed="false">
      <c r="A5" s="16" t="s">
        <v>34</v>
      </c>
      <c r="B5" s="16" t="s">
        <v>35</v>
      </c>
      <c r="C5" s="17" t="s">
        <v>36</v>
      </c>
      <c r="D5" s="16" t="s">
        <v>37</v>
      </c>
      <c r="E5" s="16" t="s">
        <v>27</v>
      </c>
      <c r="F5" s="16" t="s">
        <v>38</v>
      </c>
    </row>
    <row r="6" customFormat="false" ht="15" hidden="false" customHeight="false" outlineLevel="0" collapsed="false">
      <c r="A6" s="16" t="s">
        <v>39</v>
      </c>
      <c r="B6" s="16" t="s">
        <v>40</v>
      </c>
      <c r="C6" s="17" t="s">
        <v>41</v>
      </c>
      <c r="D6" s="16" t="s">
        <v>42</v>
      </c>
      <c r="E6" s="16" t="s">
        <v>27</v>
      </c>
      <c r="F6" s="16" t="s">
        <v>43</v>
      </c>
    </row>
    <row r="7" customFormat="false" ht="15" hidden="false" customHeight="false" outlineLevel="0" collapsed="false">
      <c r="A7" s="16" t="s">
        <v>44</v>
      </c>
      <c r="B7" s="16" t="s">
        <v>45</v>
      </c>
      <c r="C7" s="17"/>
      <c r="D7" s="16" t="s">
        <v>46</v>
      </c>
      <c r="E7" s="16" t="s">
        <v>27</v>
      </c>
      <c r="F7" s="16" t="s">
        <v>47</v>
      </c>
    </row>
    <row r="8" customFormat="false" ht="15" hidden="false" customHeight="false" outlineLevel="0" collapsed="false">
      <c r="A8" s="14" t="s">
        <v>48</v>
      </c>
      <c r="B8" s="14"/>
      <c r="C8" s="14"/>
      <c r="D8" s="15"/>
      <c r="E8" s="15"/>
      <c r="F8" s="14"/>
    </row>
    <row r="9" customFormat="false" ht="15" hidden="false" customHeight="false" outlineLevel="0" collapsed="false">
      <c r="A9" s="16" t="s">
        <v>49</v>
      </c>
      <c r="B9" s="16" t="s">
        <v>50</v>
      </c>
      <c r="C9" s="17" t="s">
        <v>51</v>
      </c>
      <c r="D9" s="16" t="s">
        <v>52</v>
      </c>
      <c r="E9" s="16" t="s">
        <v>27</v>
      </c>
      <c r="F9" s="16" t="s">
        <v>53</v>
      </c>
    </row>
    <row r="10" customFormat="false" ht="15" hidden="false" customHeight="false" outlineLevel="0" collapsed="false">
      <c r="A10" s="16" t="s">
        <v>54</v>
      </c>
      <c r="B10" s="16" t="s">
        <v>55</v>
      </c>
      <c r="C10" s="17" t="s">
        <v>56</v>
      </c>
      <c r="D10" s="16" t="s">
        <v>57</v>
      </c>
      <c r="E10" s="16" t="s">
        <v>27</v>
      </c>
      <c r="F10" s="16" t="s">
        <v>58</v>
      </c>
    </row>
    <row r="11" customFormat="false" ht="15" hidden="false" customHeight="false" outlineLevel="0" collapsed="false">
      <c r="A11" s="16" t="s">
        <v>59</v>
      </c>
      <c r="B11" s="16" t="s">
        <v>60</v>
      </c>
      <c r="C11" s="17"/>
      <c r="D11" s="16" t="s">
        <v>61</v>
      </c>
      <c r="E11" s="16" t="s">
        <v>27</v>
      </c>
      <c r="F11" s="17"/>
    </row>
    <row r="12" customFormat="false" ht="15" hidden="false" customHeight="false" outlineLevel="0" collapsed="false">
      <c r="A12" s="14" t="s">
        <v>62</v>
      </c>
      <c r="B12" s="14"/>
      <c r="C12" s="14"/>
      <c r="D12" s="15"/>
      <c r="E12" s="15"/>
      <c r="F12" s="14"/>
    </row>
    <row r="13" customFormat="false" ht="15" hidden="false" customHeight="false" outlineLevel="0" collapsed="false">
      <c r="A13" s="16" t="s">
        <v>63</v>
      </c>
      <c r="B13" s="16" t="s">
        <v>64</v>
      </c>
      <c r="C13" s="17" t="s">
        <v>65</v>
      </c>
      <c r="D13" s="16" t="s">
        <v>66</v>
      </c>
      <c r="E13" s="16" t="s">
        <v>27</v>
      </c>
      <c r="F13" s="16" t="s">
        <v>67</v>
      </c>
    </row>
    <row r="14" customFormat="false" ht="15" hidden="false" customHeight="false" outlineLevel="0" collapsed="false">
      <c r="A14" s="16" t="s">
        <v>68</v>
      </c>
      <c r="B14" s="16" t="s">
        <v>69</v>
      </c>
      <c r="C14" s="17"/>
      <c r="D14" s="16" t="s">
        <v>70</v>
      </c>
      <c r="E14" s="16" t="s">
        <v>27</v>
      </c>
      <c r="F14" s="17"/>
    </row>
    <row r="15" customFormat="false" ht="15" hidden="false" customHeight="false" outlineLevel="0" collapsed="false">
      <c r="A15" s="16" t="s">
        <v>71</v>
      </c>
      <c r="B15" s="16" t="s">
        <v>45</v>
      </c>
      <c r="C15" s="17"/>
      <c r="D15" s="16" t="s">
        <v>72</v>
      </c>
      <c r="E15" s="16" t="s">
        <v>27</v>
      </c>
      <c r="F15" s="17"/>
    </row>
    <row r="16" customFormat="false" ht="15" hidden="false" customHeight="false" outlineLevel="0" collapsed="false">
      <c r="A16" s="14" t="s">
        <v>73</v>
      </c>
      <c r="B16" s="14"/>
      <c r="C16" s="14"/>
      <c r="D16" s="15"/>
      <c r="E16" s="15"/>
      <c r="F16" s="14"/>
    </row>
    <row r="17" customFormat="false" ht="15" hidden="false" customHeight="false" outlineLevel="0" collapsed="false">
      <c r="A17" s="16" t="s">
        <v>74</v>
      </c>
      <c r="B17" s="16" t="s">
        <v>75</v>
      </c>
      <c r="C17" s="17"/>
      <c r="D17" s="16" t="s">
        <v>46</v>
      </c>
      <c r="E17" s="16" t="s">
        <v>27</v>
      </c>
      <c r="F17" s="17"/>
    </row>
    <row r="18" customFormat="false" ht="15" hidden="false" customHeight="false" outlineLevel="0" collapsed="false">
      <c r="A18" s="16" t="s">
        <v>76</v>
      </c>
      <c r="B18" s="16" t="s">
        <v>77</v>
      </c>
      <c r="C18" s="17"/>
      <c r="D18" s="16" t="s">
        <v>78</v>
      </c>
      <c r="E18" s="16" t="s">
        <v>27</v>
      </c>
      <c r="F18" s="16" t="s">
        <v>79</v>
      </c>
    </row>
    <row r="19" customFormat="false" ht="15" hidden="false" customHeight="false" outlineLevel="0" collapsed="false">
      <c r="A19" s="16" t="s">
        <v>80</v>
      </c>
      <c r="B19" s="16" t="s">
        <v>81</v>
      </c>
      <c r="C19" s="17"/>
      <c r="D19" s="16" t="s">
        <v>82</v>
      </c>
      <c r="E19" s="16" t="s">
        <v>27</v>
      </c>
      <c r="F19" s="16" t="s">
        <v>83</v>
      </c>
    </row>
  </sheetData>
  <dataValidations count="2">
    <dataValidation allowBlank="true" error="请选择状态" errorStyle="stop" errorTitle="无效输入" operator="between" showDropDown="false" showErrorMessage="false" showInputMessage="false" sqref="E2:E100" type="list">
      <formula1>"未开始,进行中,已完成"</formula1>
      <formula2>0</formula2>
    </dataValidation>
    <dataValidation allowBlank="true" errorStyle="stop" operator="between" showDropDown="false" showErrorMessage="false" showInputMessage="false" sqref="D2:D100" type="list">
      <formula1>"捐赠/二手出售,回收处理,丢弃,收起/送人,只留常用的,替换为新的,真空袋收纳,电子回收"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3" t="s">
        <v>84</v>
      </c>
      <c r="B1" s="13" t="s">
        <v>85</v>
      </c>
      <c r="C1" s="13" t="s">
        <v>86</v>
      </c>
      <c r="D1" s="13" t="s">
        <v>87</v>
      </c>
      <c r="E1" s="13" t="s">
        <v>20</v>
      </c>
      <c r="F1" s="13" t="s">
        <v>21</v>
      </c>
    </row>
    <row r="2" customFormat="false" ht="15" hidden="false" customHeight="false" outlineLevel="0" collapsed="false">
      <c r="A2" s="14" t="s">
        <v>88</v>
      </c>
      <c r="B2" s="14"/>
      <c r="C2" s="14"/>
      <c r="D2" s="14"/>
      <c r="E2" s="15"/>
      <c r="F2" s="14"/>
    </row>
    <row r="3" customFormat="false" ht="15" hidden="false" customHeight="false" outlineLevel="0" collapsed="false">
      <c r="A3" s="16" t="s">
        <v>89</v>
      </c>
      <c r="B3" s="16" t="s">
        <v>90</v>
      </c>
      <c r="C3" s="16" t="s">
        <v>91</v>
      </c>
      <c r="D3" s="17" t="n">
        <v>60</v>
      </c>
      <c r="E3" s="16" t="s">
        <v>27</v>
      </c>
      <c r="F3" s="16" t="s">
        <v>92</v>
      </c>
    </row>
    <row r="4" customFormat="false" ht="15" hidden="false" customHeight="false" outlineLevel="0" collapsed="false">
      <c r="A4" s="16" t="s">
        <v>93</v>
      </c>
      <c r="B4" s="16" t="s">
        <v>94</v>
      </c>
      <c r="C4" s="16" t="s">
        <v>95</v>
      </c>
      <c r="D4" s="17" t="n">
        <v>30</v>
      </c>
      <c r="E4" s="16" t="s">
        <v>27</v>
      </c>
      <c r="F4" s="17"/>
    </row>
    <row r="5" customFormat="false" ht="15" hidden="false" customHeight="false" outlineLevel="0" collapsed="false">
      <c r="A5" s="14" t="s">
        <v>22</v>
      </c>
      <c r="B5" s="14"/>
      <c r="C5" s="14"/>
      <c r="D5" s="14"/>
      <c r="E5" s="15"/>
      <c r="F5" s="14"/>
    </row>
    <row r="6" customFormat="false" ht="15" hidden="false" customHeight="false" outlineLevel="0" collapsed="false">
      <c r="A6" s="16" t="s">
        <v>96</v>
      </c>
      <c r="B6" s="16" t="s">
        <v>97</v>
      </c>
      <c r="C6" s="16" t="s">
        <v>98</v>
      </c>
      <c r="D6" s="17" t="n">
        <v>45</v>
      </c>
      <c r="E6" s="16" t="s">
        <v>27</v>
      </c>
      <c r="F6" s="16" t="s">
        <v>99</v>
      </c>
    </row>
    <row r="7" customFormat="false" ht="15" hidden="false" customHeight="false" outlineLevel="0" collapsed="false">
      <c r="A7" s="16" t="s">
        <v>100</v>
      </c>
      <c r="B7" s="16" t="s">
        <v>101</v>
      </c>
      <c r="C7" s="16" t="s">
        <v>102</v>
      </c>
      <c r="D7" s="17" t="n">
        <v>80</v>
      </c>
      <c r="E7" s="16" t="s">
        <v>27</v>
      </c>
      <c r="F7" s="16" t="s">
        <v>103</v>
      </c>
    </row>
    <row r="8" customFormat="false" ht="15" hidden="false" customHeight="false" outlineLevel="0" collapsed="false">
      <c r="A8" s="14" t="s">
        <v>48</v>
      </c>
      <c r="B8" s="14"/>
      <c r="C8" s="14"/>
      <c r="D8" s="14"/>
      <c r="E8" s="15"/>
      <c r="F8" s="14"/>
    </row>
    <row r="9" customFormat="false" ht="15" hidden="false" customHeight="false" outlineLevel="0" collapsed="false">
      <c r="A9" s="16" t="s">
        <v>104</v>
      </c>
      <c r="B9" s="16" t="s">
        <v>105</v>
      </c>
      <c r="C9" s="16" t="s">
        <v>106</v>
      </c>
      <c r="D9" s="17" t="n">
        <v>80</v>
      </c>
      <c r="E9" s="16" t="s">
        <v>27</v>
      </c>
      <c r="F9" s="16" t="s">
        <v>107</v>
      </c>
    </row>
    <row r="10" customFormat="false" ht="15" hidden="false" customHeight="false" outlineLevel="0" collapsed="false">
      <c r="A10" s="16" t="s">
        <v>108</v>
      </c>
      <c r="B10" s="16" t="s">
        <v>109</v>
      </c>
      <c r="C10" s="16" t="s">
        <v>110</v>
      </c>
      <c r="D10" s="17" t="n">
        <v>70</v>
      </c>
      <c r="E10" s="16" t="s">
        <v>27</v>
      </c>
      <c r="F10" s="17"/>
    </row>
    <row r="11" customFormat="false" ht="15" hidden="false" customHeight="false" outlineLevel="0" collapsed="false">
      <c r="A11" s="16" t="s">
        <v>111</v>
      </c>
      <c r="B11" s="16" t="s">
        <v>112</v>
      </c>
      <c r="C11" s="16" t="s">
        <v>113</v>
      </c>
      <c r="D11" s="17" t="n">
        <v>25</v>
      </c>
      <c r="E11" s="16" t="s">
        <v>27</v>
      </c>
      <c r="F11" s="16" t="s">
        <v>114</v>
      </c>
    </row>
    <row r="12" customFormat="false" ht="15" hidden="false" customHeight="false" outlineLevel="0" collapsed="false">
      <c r="A12" s="14" t="s">
        <v>62</v>
      </c>
      <c r="B12" s="14"/>
      <c r="C12" s="14"/>
      <c r="D12" s="14"/>
      <c r="E12" s="15"/>
      <c r="F12" s="14"/>
    </row>
    <row r="13" customFormat="false" ht="15" hidden="false" customHeight="false" outlineLevel="0" collapsed="false">
      <c r="A13" s="16" t="s">
        <v>115</v>
      </c>
      <c r="B13" s="16" t="s">
        <v>116</v>
      </c>
      <c r="C13" s="16" t="s">
        <v>117</v>
      </c>
      <c r="D13" s="17" t="n">
        <v>300</v>
      </c>
      <c r="E13" s="16" t="s">
        <v>27</v>
      </c>
      <c r="F13" s="16" t="s">
        <v>118</v>
      </c>
    </row>
    <row r="14" customFormat="false" ht="15" hidden="false" customHeight="false" outlineLevel="0" collapsed="false">
      <c r="A14" s="16" t="s">
        <v>119</v>
      </c>
      <c r="B14" s="16" t="s">
        <v>120</v>
      </c>
      <c r="C14" s="16" t="s">
        <v>121</v>
      </c>
      <c r="D14" s="17" t="n">
        <v>60</v>
      </c>
      <c r="E14" s="16" t="s">
        <v>27</v>
      </c>
      <c r="F14" s="16" t="s">
        <v>122</v>
      </c>
    </row>
    <row r="15" customFormat="false" ht="15" hidden="false" customHeight="false" outlineLevel="0" collapsed="false">
      <c r="A15" s="16" t="s">
        <v>123</v>
      </c>
      <c r="B15" s="16" t="s">
        <v>124</v>
      </c>
      <c r="C15" s="16" t="s">
        <v>125</v>
      </c>
      <c r="D15" s="17" t="n">
        <v>200</v>
      </c>
      <c r="E15" s="16" t="s">
        <v>27</v>
      </c>
      <c r="F15" s="16" t="s">
        <v>126</v>
      </c>
    </row>
    <row r="16" customFormat="false" ht="15" hidden="false" customHeight="false" outlineLevel="0" collapsed="false">
      <c r="A16" s="14" t="s">
        <v>127</v>
      </c>
      <c r="B16" s="14"/>
      <c r="C16" s="14"/>
      <c r="D16" s="14"/>
      <c r="E16" s="15"/>
      <c r="F16" s="14"/>
    </row>
    <row r="17" customFormat="false" ht="15" hidden="false" customHeight="false" outlineLevel="0" collapsed="false">
      <c r="A17" s="16" t="s">
        <v>128</v>
      </c>
      <c r="B17" s="16" t="s">
        <v>129</v>
      </c>
      <c r="C17" s="16" t="s">
        <v>130</v>
      </c>
      <c r="D17" s="17" t="n">
        <v>40</v>
      </c>
      <c r="E17" s="16" t="s">
        <v>27</v>
      </c>
      <c r="F17" s="16" t="s">
        <v>131</v>
      </c>
    </row>
    <row r="18" customFormat="false" ht="15" hidden="false" customHeight="false" outlineLevel="0" collapsed="false">
      <c r="A18" s="16" t="s">
        <v>132</v>
      </c>
      <c r="B18" s="16" t="s">
        <v>133</v>
      </c>
      <c r="C18" s="16" t="s">
        <v>134</v>
      </c>
      <c r="D18" s="17" t="n">
        <v>50</v>
      </c>
      <c r="E18" s="16" t="s">
        <v>27</v>
      </c>
      <c r="F18" s="17"/>
    </row>
    <row r="19" customFormat="false" ht="15" hidden="false" customHeight="false" outlineLevel="0" collapsed="false">
      <c r="A19" s="14" t="s">
        <v>135</v>
      </c>
      <c r="B19" s="14"/>
      <c r="C19" s="14"/>
      <c r="D19" s="14"/>
      <c r="E19" s="15"/>
      <c r="F19" s="14"/>
    </row>
    <row r="20" customFormat="false" ht="15" hidden="false" customHeight="false" outlineLevel="0" collapsed="false">
      <c r="A20" s="16" t="s">
        <v>136</v>
      </c>
      <c r="B20" s="16" t="s">
        <v>137</v>
      </c>
      <c r="C20" s="16" t="s">
        <v>138</v>
      </c>
      <c r="D20" s="17" t="n">
        <v>45</v>
      </c>
      <c r="E20" s="16" t="s">
        <v>27</v>
      </c>
      <c r="F20" s="16" t="s">
        <v>139</v>
      </c>
    </row>
    <row r="21" customFormat="false" ht="15" hidden="false" customHeight="false" outlineLevel="0" collapsed="false">
      <c r="A21" s="16" t="s">
        <v>140</v>
      </c>
      <c r="B21" s="16" t="s">
        <v>141</v>
      </c>
      <c r="C21" s="16" t="s">
        <v>142</v>
      </c>
      <c r="D21" s="17" t="n">
        <v>40</v>
      </c>
      <c r="E21" s="16" t="s">
        <v>27</v>
      </c>
      <c r="F21" s="17"/>
    </row>
    <row r="23" customFormat="false" ht="15" hidden="false" customHeight="false" outlineLevel="0" collapsed="false">
      <c r="A23" s="3" t="s">
        <v>143</v>
      </c>
      <c r="B23" s="11"/>
      <c r="C23" s="11"/>
      <c r="D23" s="18" t="n">
        <f aca="false">SUM(D2:D21)</f>
        <v>1125</v>
      </c>
      <c r="E23" s="11"/>
      <c r="F23" s="11"/>
    </row>
  </sheetData>
  <dataValidations count="1">
    <dataValidation allowBlank="true" errorStyle="stop" operator="between" showDropDown="false" showErrorMessage="false" showInputMessage="false" sqref="E2:E100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3" t="s">
        <v>144</v>
      </c>
      <c r="B1" s="13" t="s">
        <v>145</v>
      </c>
      <c r="C1" s="13" t="s">
        <v>146</v>
      </c>
      <c r="D1" s="13" t="s">
        <v>87</v>
      </c>
      <c r="E1" s="13" t="s">
        <v>20</v>
      </c>
      <c r="F1" s="13" t="s">
        <v>147</v>
      </c>
    </row>
    <row r="2" customFormat="false" ht="15" hidden="false" customHeight="false" outlineLevel="0" collapsed="false">
      <c r="A2" s="14" t="s">
        <v>148</v>
      </c>
      <c r="B2" s="15"/>
      <c r="C2" s="14"/>
      <c r="D2" s="14"/>
      <c r="E2" s="15"/>
      <c r="F2" s="14"/>
    </row>
    <row r="3" customFormat="false" ht="15" hidden="false" customHeight="false" outlineLevel="0" collapsed="false">
      <c r="A3" s="16" t="s">
        <v>149</v>
      </c>
      <c r="B3" s="19" t="s">
        <v>150</v>
      </c>
      <c r="C3" s="17" t="n">
        <v>1</v>
      </c>
      <c r="D3" s="17" t="n">
        <v>500</v>
      </c>
      <c r="E3" s="16" t="s">
        <v>27</v>
      </c>
      <c r="F3" s="16" t="s">
        <v>151</v>
      </c>
    </row>
    <row r="4" customFormat="false" ht="15" hidden="false" customHeight="false" outlineLevel="0" collapsed="false">
      <c r="A4" s="16" t="s">
        <v>152</v>
      </c>
      <c r="B4" s="19" t="s">
        <v>150</v>
      </c>
      <c r="C4" s="17" t="n">
        <v>1</v>
      </c>
      <c r="D4" s="17" t="n">
        <v>200</v>
      </c>
      <c r="E4" s="16" t="s">
        <v>27</v>
      </c>
      <c r="F4" s="16" t="s">
        <v>153</v>
      </c>
    </row>
    <row r="5" customFormat="false" ht="15" hidden="false" customHeight="false" outlineLevel="0" collapsed="false">
      <c r="A5" s="16" t="s">
        <v>154</v>
      </c>
      <c r="B5" s="19" t="s">
        <v>150</v>
      </c>
      <c r="C5" s="17" t="n">
        <v>2</v>
      </c>
      <c r="D5" s="17" t="n">
        <v>200</v>
      </c>
      <c r="E5" s="16" t="s">
        <v>27</v>
      </c>
      <c r="F5" s="16" t="s">
        <v>155</v>
      </c>
    </row>
    <row r="6" customFormat="false" ht="15" hidden="false" customHeight="false" outlineLevel="0" collapsed="false">
      <c r="A6" s="16" t="s">
        <v>156</v>
      </c>
      <c r="B6" s="19" t="s">
        <v>150</v>
      </c>
      <c r="C6" s="17" t="n">
        <v>2</v>
      </c>
      <c r="D6" s="17" t="n">
        <v>150</v>
      </c>
      <c r="E6" s="16" t="s">
        <v>27</v>
      </c>
      <c r="F6" s="16" t="s">
        <v>157</v>
      </c>
    </row>
    <row r="7" customFormat="false" ht="15" hidden="false" customHeight="false" outlineLevel="0" collapsed="false">
      <c r="A7" s="16" t="s">
        <v>158</v>
      </c>
      <c r="B7" s="20" t="s">
        <v>159</v>
      </c>
      <c r="C7" s="17" t="n">
        <v>1</v>
      </c>
      <c r="D7" s="17" t="n">
        <v>150</v>
      </c>
      <c r="E7" s="16" t="s">
        <v>27</v>
      </c>
      <c r="F7" s="16" t="s">
        <v>160</v>
      </c>
    </row>
    <row r="8" customFormat="false" ht="15" hidden="false" customHeight="false" outlineLevel="0" collapsed="false">
      <c r="A8" s="14" t="s">
        <v>161</v>
      </c>
      <c r="B8" s="15"/>
      <c r="C8" s="14"/>
      <c r="D8" s="14"/>
      <c r="E8" s="15"/>
      <c r="F8" s="14"/>
    </row>
    <row r="9" customFormat="false" ht="15" hidden="false" customHeight="false" outlineLevel="0" collapsed="false">
      <c r="A9" s="16" t="s">
        <v>162</v>
      </c>
      <c r="B9" s="19" t="s">
        <v>150</v>
      </c>
      <c r="C9" s="17" t="n">
        <v>4</v>
      </c>
      <c r="D9" s="17" t="n">
        <v>200</v>
      </c>
      <c r="E9" s="16" t="s">
        <v>27</v>
      </c>
      <c r="F9" s="16" t="s">
        <v>163</v>
      </c>
    </row>
    <row r="10" customFormat="false" ht="15" hidden="false" customHeight="false" outlineLevel="0" collapsed="false">
      <c r="A10" s="16" t="s">
        <v>164</v>
      </c>
      <c r="B10" s="19" t="s">
        <v>150</v>
      </c>
      <c r="C10" s="17" t="n">
        <v>1</v>
      </c>
      <c r="D10" s="17" t="n">
        <v>200</v>
      </c>
      <c r="E10" s="16" t="s">
        <v>27</v>
      </c>
      <c r="F10" s="17"/>
    </row>
    <row r="11" customFormat="false" ht="15" hidden="false" customHeight="false" outlineLevel="0" collapsed="false">
      <c r="A11" s="16" t="s">
        <v>165</v>
      </c>
      <c r="B11" s="19" t="s">
        <v>150</v>
      </c>
      <c r="C11" s="17" t="n">
        <v>1</v>
      </c>
      <c r="D11" s="17" t="n">
        <v>500</v>
      </c>
      <c r="E11" s="16" t="s">
        <v>27</v>
      </c>
      <c r="F11" s="16" t="s">
        <v>166</v>
      </c>
    </row>
    <row r="12" customFormat="false" ht="15" hidden="false" customHeight="false" outlineLevel="0" collapsed="false">
      <c r="A12" s="16" t="s">
        <v>167</v>
      </c>
      <c r="B12" s="19" t="s">
        <v>150</v>
      </c>
      <c r="C12" s="17" t="n">
        <v>1</v>
      </c>
      <c r="D12" s="17" t="n">
        <v>50</v>
      </c>
      <c r="E12" s="16" t="s">
        <v>27</v>
      </c>
      <c r="F12" s="16" t="s">
        <v>168</v>
      </c>
    </row>
    <row r="13" customFormat="false" ht="15" hidden="false" customHeight="false" outlineLevel="0" collapsed="false">
      <c r="A13" s="16" t="s">
        <v>169</v>
      </c>
      <c r="B13" s="19" t="s">
        <v>150</v>
      </c>
      <c r="C13" s="17" t="n">
        <v>1</v>
      </c>
      <c r="D13" s="17" t="n">
        <v>30</v>
      </c>
      <c r="E13" s="16" t="s">
        <v>27</v>
      </c>
      <c r="F13" s="17"/>
    </row>
    <row r="14" customFormat="false" ht="15" hidden="false" customHeight="false" outlineLevel="0" collapsed="false">
      <c r="A14" s="16" t="s">
        <v>170</v>
      </c>
      <c r="B14" s="20" t="s">
        <v>159</v>
      </c>
      <c r="C14" s="17" t="n">
        <v>1</v>
      </c>
      <c r="D14" s="17" t="n">
        <v>100</v>
      </c>
      <c r="E14" s="16" t="s">
        <v>27</v>
      </c>
      <c r="F14" s="16" t="s">
        <v>171</v>
      </c>
    </row>
    <row r="15" customFormat="false" ht="15" hidden="false" customHeight="false" outlineLevel="0" collapsed="false">
      <c r="A15" s="14" t="s">
        <v>172</v>
      </c>
      <c r="B15" s="15"/>
      <c r="C15" s="14"/>
      <c r="D15" s="14"/>
      <c r="E15" s="15"/>
      <c r="F15" s="14"/>
    </row>
    <row r="16" customFormat="false" ht="15" hidden="false" customHeight="false" outlineLevel="0" collapsed="false">
      <c r="A16" s="16" t="s">
        <v>173</v>
      </c>
      <c r="B16" s="19" t="s">
        <v>150</v>
      </c>
      <c r="C16" s="17" t="n">
        <v>6</v>
      </c>
      <c r="D16" s="17" t="n">
        <v>180</v>
      </c>
      <c r="E16" s="16" t="s">
        <v>27</v>
      </c>
      <c r="F16" s="16" t="s">
        <v>174</v>
      </c>
    </row>
    <row r="17" customFormat="false" ht="15" hidden="false" customHeight="false" outlineLevel="0" collapsed="false">
      <c r="A17" s="16" t="s">
        <v>175</v>
      </c>
      <c r="B17" s="19" t="s">
        <v>150</v>
      </c>
      <c r="C17" s="17" t="n">
        <v>2</v>
      </c>
      <c r="D17" s="17" t="n">
        <v>100</v>
      </c>
      <c r="E17" s="16" t="s">
        <v>27</v>
      </c>
      <c r="F17" s="16" t="s">
        <v>176</v>
      </c>
    </row>
    <row r="18" customFormat="false" ht="15" hidden="false" customHeight="false" outlineLevel="0" collapsed="false">
      <c r="A18" s="16" t="s">
        <v>177</v>
      </c>
      <c r="B18" s="19" t="s">
        <v>150</v>
      </c>
      <c r="C18" s="17" t="n">
        <v>3</v>
      </c>
      <c r="D18" s="17" t="n">
        <v>50</v>
      </c>
      <c r="E18" s="16" t="s">
        <v>27</v>
      </c>
      <c r="F18" s="17"/>
    </row>
    <row r="19" customFormat="false" ht="15" hidden="false" customHeight="false" outlineLevel="0" collapsed="false">
      <c r="A19" s="16" t="s">
        <v>178</v>
      </c>
      <c r="B19" s="20" t="s">
        <v>159</v>
      </c>
      <c r="C19" s="17" t="n">
        <v>5</v>
      </c>
      <c r="D19" s="17" t="n">
        <v>30</v>
      </c>
      <c r="E19" s="16" t="s">
        <v>27</v>
      </c>
      <c r="F19" s="17"/>
    </row>
    <row r="20" customFormat="false" ht="15" hidden="false" customHeight="false" outlineLevel="0" collapsed="false">
      <c r="A20" s="14" t="s">
        <v>179</v>
      </c>
      <c r="B20" s="15"/>
      <c r="C20" s="14"/>
      <c r="D20" s="14"/>
      <c r="E20" s="15"/>
      <c r="F20" s="14"/>
    </row>
    <row r="21" customFormat="false" ht="15" hidden="false" customHeight="false" outlineLevel="0" collapsed="false">
      <c r="A21" s="16" t="s">
        <v>180</v>
      </c>
      <c r="B21" s="19" t="s">
        <v>150</v>
      </c>
      <c r="C21" s="17" t="n">
        <v>1</v>
      </c>
      <c r="D21" s="17" t="n">
        <v>80</v>
      </c>
      <c r="E21" s="16" t="s">
        <v>27</v>
      </c>
      <c r="F21" s="16" t="s">
        <v>181</v>
      </c>
    </row>
    <row r="22" customFormat="false" ht="15" hidden="false" customHeight="false" outlineLevel="0" collapsed="false">
      <c r="A22" s="16" t="s">
        <v>182</v>
      </c>
      <c r="B22" s="19" t="s">
        <v>150</v>
      </c>
      <c r="C22" s="17" t="n">
        <v>1</v>
      </c>
      <c r="D22" s="17" t="n">
        <v>50</v>
      </c>
      <c r="E22" s="16" t="s">
        <v>27</v>
      </c>
      <c r="F22" s="16" t="s">
        <v>183</v>
      </c>
    </row>
    <row r="23" customFormat="false" ht="15" hidden="false" customHeight="false" outlineLevel="0" collapsed="false">
      <c r="A23" s="16" t="s">
        <v>184</v>
      </c>
      <c r="B23" s="19" t="s">
        <v>150</v>
      </c>
      <c r="C23" s="17" t="n">
        <v>1</v>
      </c>
      <c r="D23" s="17" t="n">
        <v>40</v>
      </c>
      <c r="E23" s="16" t="s">
        <v>27</v>
      </c>
      <c r="F23" s="17"/>
    </row>
    <row r="24" customFormat="false" ht="15" hidden="false" customHeight="false" outlineLevel="0" collapsed="false">
      <c r="A24" s="16" t="s">
        <v>185</v>
      </c>
      <c r="B24" s="19" t="s">
        <v>150</v>
      </c>
      <c r="C24" s="17" t="n">
        <v>1</v>
      </c>
      <c r="D24" s="17" t="n">
        <v>25</v>
      </c>
      <c r="E24" s="16" t="s">
        <v>27</v>
      </c>
      <c r="F24" s="17"/>
    </row>
    <row r="25" customFormat="false" ht="15" hidden="false" customHeight="false" outlineLevel="0" collapsed="false">
      <c r="A25" s="16" t="s">
        <v>186</v>
      </c>
      <c r="B25" s="19" t="s">
        <v>150</v>
      </c>
      <c r="C25" s="17" t="n">
        <v>1</v>
      </c>
      <c r="D25" s="17" t="n">
        <v>50</v>
      </c>
      <c r="E25" s="16" t="s">
        <v>27</v>
      </c>
      <c r="F25" s="16" t="s">
        <v>187</v>
      </c>
    </row>
    <row r="26" customFormat="false" ht="15" hidden="false" customHeight="false" outlineLevel="0" collapsed="false">
      <c r="A26" s="14" t="s">
        <v>188</v>
      </c>
      <c r="B26" s="15"/>
      <c r="C26" s="14"/>
      <c r="D26" s="14"/>
      <c r="E26" s="15"/>
      <c r="F26" s="14"/>
    </row>
    <row r="27" customFormat="false" ht="15" hidden="false" customHeight="false" outlineLevel="0" collapsed="false">
      <c r="A27" s="16" t="s">
        <v>189</v>
      </c>
      <c r="B27" s="19" t="s">
        <v>150</v>
      </c>
      <c r="C27" s="17" t="n">
        <v>1</v>
      </c>
      <c r="D27" s="17" t="n">
        <v>800</v>
      </c>
      <c r="E27" s="16" t="s">
        <v>27</v>
      </c>
      <c r="F27" s="16" t="s">
        <v>190</v>
      </c>
    </row>
    <row r="28" customFormat="false" ht="15" hidden="false" customHeight="false" outlineLevel="0" collapsed="false">
      <c r="A28" s="16" t="s">
        <v>191</v>
      </c>
      <c r="B28" s="19" t="s">
        <v>150</v>
      </c>
      <c r="C28" s="17" t="n">
        <v>1</v>
      </c>
      <c r="D28" s="17" t="n">
        <v>600</v>
      </c>
      <c r="E28" s="16" t="s">
        <v>27</v>
      </c>
      <c r="F28" s="17" t="s">
        <v>192</v>
      </c>
    </row>
    <row r="29" customFormat="false" ht="15" hidden="false" customHeight="false" outlineLevel="0" collapsed="false">
      <c r="A29" s="16" t="s">
        <v>193</v>
      </c>
      <c r="B29" s="20" t="s">
        <v>159</v>
      </c>
      <c r="C29" s="17" t="n">
        <v>1</v>
      </c>
      <c r="D29" s="17" t="n">
        <v>150</v>
      </c>
      <c r="E29" s="16" t="s">
        <v>27</v>
      </c>
      <c r="F29" s="16" t="s">
        <v>194</v>
      </c>
    </row>
    <row r="30" customFormat="false" ht="15" hidden="false" customHeight="false" outlineLevel="0" collapsed="false">
      <c r="A30" s="14" t="s">
        <v>195</v>
      </c>
      <c r="B30" s="15"/>
      <c r="C30" s="14"/>
      <c r="D30" s="14"/>
      <c r="E30" s="15"/>
      <c r="F30" s="14"/>
    </row>
    <row r="31" customFormat="false" ht="15" hidden="false" customHeight="false" outlineLevel="0" collapsed="false">
      <c r="A31" s="16" t="s">
        <v>196</v>
      </c>
      <c r="B31" s="19" t="s">
        <v>150</v>
      </c>
      <c r="C31" s="17" t="n">
        <v>2</v>
      </c>
      <c r="D31" s="17" t="n">
        <v>200</v>
      </c>
      <c r="E31" s="16" t="s">
        <v>27</v>
      </c>
      <c r="F31" s="16" t="s">
        <v>197</v>
      </c>
    </row>
    <row r="32" customFormat="false" ht="15" hidden="false" customHeight="false" outlineLevel="0" collapsed="false">
      <c r="A32" s="16" t="s">
        <v>198</v>
      </c>
      <c r="B32" s="19" t="s">
        <v>150</v>
      </c>
      <c r="C32" s="17" t="n">
        <v>1</v>
      </c>
      <c r="D32" s="17" t="n">
        <v>50</v>
      </c>
      <c r="E32" s="16" t="s">
        <v>27</v>
      </c>
      <c r="F32" s="17"/>
    </row>
    <row r="33" customFormat="false" ht="15" hidden="false" customHeight="false" outlineLevel="0" collapsed="false">
      <c r="A33" s="16" t="s">
        <v>199</v>
      </c>
      <c r="B33" s="19" t="s">
        <v>150</v>
      </c>
      <c r="C33" s="17" t="n">
        <v>1</v>
      </c>
      <c r="D33" s="17" t="n">
        <v>100</v>
      </c>
      <c r="E33" s="16" t="s">
        <v>27</v>
      </c>
      <c r="F33" s="17"/>
    </row>
    <row r="34" customFormat="false" ht="15" hidden="false" customHeight="false" outlineLevel="0" collapsed="false">
      <c r="A34" s="16" t="s">
        <v>200</v>
      </c>
      <c r="B34" s="20" t="s">
        <v>159</v>
      </c>
      <c r="C34" s="17" t="n">
        <v>1</v>
      </c>
      <c r="D34" s="17" t="n">
        <v>200</v>
      </c>
      <c r="E34" s="16" t="s">
        <v>27</v>
      </c>
      <c r="F34" s="16" t="s">
        <v>201</v>
      </c>
    </row>
    <row r="35" customFormat="false" ht="15" hidden="false" customHeight="false" outlineLevel="0" collapsed="false">
      <c r="A35" s="16" t="s">
        <v>202</v>
      </c>
      <c r="B35" s="19" t="s">
        <v>150</v>
      </c>
      <c r="C35" s="17" t="n">
        <v>10</v>
      </c>
      <c r="D35" s="17" t="n">
        <v>20</v>
      </c>
      <c r="E35" s="16" t="s">
        <v>27</v>
      </c>
      <c r="F35" s="16" t="s">
        <v>203</v>
      </c>
    </row>
    <row r="36" customFormat="false" ht="15" hidden="false" customHeight="false" outlineLevel="0" collapsed="false">
      <c r="A36" s="16" t="s">
        <v>204</v>
      </c>
      <c r="B36" s="19" t="s">
        <v>150</v>
      </c>
      <c r="C36" s="17" t="n">
        <v>4</v>
      </c>
      <c r="D36" s="17" t="n">
        <v>30</v>
      </c>
      <c r="E36" s="16" t="s">
        <v>27</v>
      </c>
      <c r="F36" s="17"/>
    </row>
    <row r="38" customFormat="false" ht="15" hidden="false" customHeight="false" outlineLevel="0" collapsed="false">
      <c r="A38" s="3" t="s">
        <v>205</v>
      </c>
      <c r="B38" s="11"/>
      <c r="C38" s="11"/>
      <c r="D38" s="18" t="n">
        <f aca="false">SUM(D2:D36)</f>
        <v>5035</v>
      </c>
      <c r="E38" s="11"/>
      <c r="F38" s="11"/>
    </row>
  </sheetData>
  <dataValidations count="2">
    <dataValidation allowBlank="true" errorStyle="stop" operator="between" showDropDown="false" showErrorMessage="false" showInputMessage="false" sqref="E2:E100" type="list">
      <formula1>"未开始,已下单,已到货,已完成"</formula1>
      <formula2>0</formula2>
    </dataValidation>
    <dataValidation allowBlank="true" errorStyle="stop" operator="between" showDropDown="false" showErrorMessage="false" showInputMessage="false" sqref="B2:B100" type="list">
      <formula1>"必备,推荐,可选"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3" t="s">
        <v>206</v>
      </c>
      <c r="B1" s="13" t="s">
        <v>207</v>
      </c>
      <c r="C1" s="13" t="s">
        <v>208</v>
      </c>
      <c r="D1" s="13" t="s">
        <v>145</v>
      </c>
      <c r="E1" s="13" t="s">
        <v>20</v>
      </c>
      <c r="F1" s="13" t="s">
        <v>21</v>
      </c>
    </row>
    <row r="2" customFormat="false" ht="15" hidden="false" customHeight="false" outlineLevel="0" collapsed="false">
      <c r="A2" s="14" t="s">
        <v>209</v>
      </c>
      <c r="B2" s="15"/>
      <c r="C2" s="14"/>
      <c r="D2" s="15"/>
      <c r="E2" s="15"/>
      <c r="F2" s="14"/>
    </row>
    <row r="3" customFormat="false" ht="15" hidden="false" customHeight="false" outlineLevel="0" collapsed="false">
      <c r="A3" s="16" t="s">
        <v>210</v>
      </c>
      <c r="B3" s="16" t="s">
        <v>211</v>
      </c>
      <c r="C3" s="17" t="s">
        <v>212</v>
      </c>
      <c r="D3" s="19" t="s">
        <v>213</v>
      </c>
      <c r="E3" s="16" t="s">
        <v>27</v>
      </c>
      <c r="F3" s="16" t="s">
        <v>214</v>
      </c>
    </row>
    <row r="4" customFormat="false" ht="15" hidden="false" customHeight="false" outlineLevel="0" collapsed="false">
      <c r="A4" s="16" t="s">
        <v>215</v>
      </c>
      <c r="B4" s="16" t="s">
        <v>211</v>
      </c>
      <c r="C4" s="17" t="s">
        <v>216</v>
      </c>
      <c r="D4" s="19" t="s">
        <v>213</v>
      </c>
      <c r="E4" s="16" t="s">
        <v>27</v>
      </c>
      <c r="F4" s="16" t="s">
        <v>217</v>
      </c>
    </row>
    <row r="5" customFormat="false" ht="15" hidden="false" customHeight="false" outlineLevel="0" collapsed="false">
      <c r="A5" s="16" t="s">
        <v>218</v>
      </c>
      <c r="B5" s="16" t="s">
        <v>219</v>
      </c>
      <c r="C5" s="17" t="s">
        <v>220</v>
      </c>
      <c r="D5" s="19" t="s">
        <v>213</v>
      </c>
      <c r="E5" s="16" t="s">
        <v>27</v>
      </c>
      <c r="F5" s="16" t="s">
        <v>221</v>
      </c>
    </row>
    <row r="6" customFormat="false" ht="15" hidden="false" customHeight="false" outlineLevel="0" collapsed="false">
      <c r="A6" s="16" t="s">
        <v>222</v>
      </c>
      <c r="B6" s="16" t="s">
        <v>211</v>
      </c>
      <c r="C6" s="17" t="s">
        <v>223</v>
      </c>
      <c r="D6" s="19" t="s">
        <v>213</v>
      </c>
      <c r="E6" s="16" t="s">
        <v>27</v>
      </c>
      <c r="F6" s="16" t="s">
        <v>224</v>
      </c>
    </row>
    <row r="7" customFormat="false" ht="15" hidden="false" customHeight="false" outlineLevel="0" collapsed="false">
      <c r="A7" s="16" t="s">
        <v>225</v>
      </c>
      <c r="B7" s="16" t="s">
        <v>211</v>
      </c>
      <c r="C7" s="17" t="s">
        <v>223</v>
      </c>
      <c r="D7" s="20" t="s">
        <v>226</v>
      </c>
      <c r="E7" s="16" t="s">
        <v>27</v>
      </c>
      <c r="F7" s="17"/>
    </row>
    <row r="8" customFormat="false" ht="15" hidden="false" customHeight="false" outlineLevel="0" collapsed="false">
      <c r="A8" s="16" t="s">
        <v>227</v>
      </c>
      <c r="B8" s="16" t="s">
        <v>228</v>
      </c>
      <c r="C8" s="17" t="s">
        <v>229</v>
      </c>
      <c r="D8" s="20" t="s">
        <v>226</v>
      </c>
      <c r="E8" s="16" t="s">
        <v>27</v>
      </c>
      <c r="F8" s="16" t="s">
        <v>230</v>
      </c>
    </row>
    <row r="9" customFormat="false" ht="15" hidden="false" customHeight="false" outlineLevel="0" collapsed="false">
      <c r="A9" s="14" t="s">
        <v>231</v>
      </c>
      <c r="B9" s="15"/>
      <c r="C9" s="14"/>
      <c r="D9" s="15"/>
      <c r="E9" s="15"/>
      <c r="F9" s="14"/>
    </row>
    <row r="10" customFormat="false" ht="15" hidden="false" customHeight="false" outlineLevel="0" collapsed="false">
      <c r="A10" s="16" t="s">
        <v>232</v>
      </c>
      <c r="B10" s="16" t="s">
        <v>233</v>
      </c>
      <c r="C10" s="17" t="s">
        <v>234</v>
      </c>
      <c r="D10" s="19" t="s">
        <v>213</v>
      </c>
      <c r="E10" s="16" t="s">
        <v>27</v>
      </c>
      <c r="F10" s="16" t="s">
        <v>235</v>
      </c>
    </row>
    <row r="11" customFormat="false" ht="15" hidden="false" customHeight="false" outlineLevel="0" collapsed="false">
      <c r="A11" s="16" t="s">
        <v>236</v>
      </c>
      <c r="B11" s="16" t="s">
        <v>228</v>
      </c>
      <c r="C11" s="17" t="s">
        <v>237</v>
      </c>
      <c r="D11" s="20" t="s">
        <v>226</v>
      </c>
      <c r="E11" s="16" t="s">
        <v>27</v>
      </c>
      <c r="F11" s="16" t="s">
        <v>238</v>
      </c>
    </row>
    <row r="12" customFormat="false" ht="15" hidden="false" customHeight="false" outlineLevel="0" collapsed="false">
      <c r="A12" s="16" t="s">
        <v>239</v>
      </c>
      <c r="B12" s="16" t="s">
        <v>211</v>
      </c>
      <c r="C12" s="17" t="s">
        <v>240</v>
      </c>
      <c r="D12" s="19" t="s">
        <v>213</v>
      </c>
      <c r="E12" s="16" t="s">
        <v>27</v>
      </c>
      <c r="F12" s="16" t="s">
        <v>241</v>
      </c>
    </row>
    <row r="13" customFormat="false" ht="15" hidden="false" customHeight="false" outlineLevel="0" collapsed="false">
      <c r="A13" s="16" t="s">
        <v>242</v>
      </c>
      <c r="B13" s="16" t="s">
        <v>211</v>
      </c>
      <c r="C13" s="17" t="s">
        <v>243</v>
      </c>
      <c r="D13" s="20" t="s">
        <v>226</v>
      </c>
      <c r="E13" s="16" t="s">
        <v>27</v>
      </c>
      <c r="F13" s="16" t="s">
        <v>244</v>
      </c>
    </row>
    <row r="14" customFormat="false" ht="15" hidden="false" customHeight="false" outlineLevel="0" collapsed="false">
      <c r="A14" s="16" t="s">
        <v>245</v>
      </c>
      <c r="B14" s="16" t="s">
        <v>228</v>
      </c>
      <c r="C14" s="17" t="s">
        <v>246</v>
      </c>
      <c r="D14" s="20" t="s">
        <v>226</v>
      </c>
      <c r="E14" s="16" t="s">
        <v>27</v>
      </c>
      <c r="F14" s="16" t="s">
        <v>247</v>
      </c>
    </row>
    <row r="15" customFormat="false" ht="15" hidden="false" customHeight="false" outlineLevel="0" collapsed="false">
      <c r="A15" s="14" t="s">
        <v>248</v>
      </c>
      <c r="B15" s="15"/>
      <c r="C15" s="14"/>
      <c r="D15" s="15"/>
      <c r="E15" s="15"/>
      <c r="F15" s="14"/>
    </row>
    <row r="16" customFormat="false" ht="15" hidden="false" customHeight="false" outlineLevel="0" collapsed="false">
      <c r="A16" s="16" t="s">
        <v>249</v>
      </c>
      <c r="B16" s="16" t="s">
        <v>228</v>
      </c>
      <c r="C16" s="17" t="s">
        <v>250</v>
      </c>
      <c r="D16" s="19" t="s">
        <v>213</v>
      </c>
      <c r="E16" s="16" t="s">
        <v>27</v>
      </c>
      <c r="F16" s="16" t="s">
        <v>251</v>
      </c>
    </row>
    <row r="17" customFormat="false" ht="15" hidden="false" customHeight="false" outlineLevel="0" collapsed="false">
      <c r="A17" s="16" t="s">
        <v>252</v>
      </c>
      <c r="B17" s="16" t="s">
        <v>228</v>
      </c>
      <c r="C17" s="17" t="s">
        <v>253</v>
      </c>
      <c r="D17" s="19" t="s">
        <v>213</v>
      </c>
      <c r="E17" s="16" t="s">
        <v>27</v>
      </c>
      <c r="F17" s="17"/>
    </row>
    <row r="18" customFormat="false" ht="15" hidden="false" customHeight="false" outlineLevel="0" collapsed="false">
      <c r="A18" s="16" t="s">
        <v>254</v>
      </c>
      <c r="B18" s="16" t="s">
        <v>228</v>
      </c>
      <c r="C18" s="17" t="s">
        <v>255</v>
      </c>
      <c r="D18" s="19" t="s">
        <v>213</v>
      </c>
      <c r="E18" s="16" t="s">
        <v>27</v>
      </c>
      <c r="F18" s="17"/>
    </row>
    <row r="19" customFormat="false" ht="15" hidden="false" customHeight="false" outlineLevel="0" collapsed="false">
      <c r="A19" s="16" t="s">
        <v>256</v>
      </c>
      <c r="B19" s="16" t="s">
        <v>233</v>
      </c>
      <c r="C19" s="17" t="s">
        <v>257</v>
      </c>
      <c r="D19" s="19" t="s">
        <v>213</v>
      </c>
      <c r="E19" s="16" t="s">
        <v>27</v>
      </c>
      <c r="F19" s="16" t="s">
        <v>258</v>
      </c>
    </row>
    <row r="20" customFormat="false" ht="15" hidden="false" customHeight="false" outlineLevel="0" collapsed="false">
      <c r="A20" s="16" t="s">
        <v>259</v>
      </c>
      <c r="B20" s="16" t="s">
        <v>211</v>
      </c>
      <c r="C20" s="17" t="s">
        <v>260</v>
      </c>
      <c r="D20" s="19" t="s">
        <v>213</v>
      </c>
      <c r="E20" s="16" t="s">
        <v>27</v>
      </c>
      <c r="F20" s="16" t="s">
        <v>261</v>
      </c>
    </row>
    <row r="21" customFormat="false" ht="15" hidden="false" customHeight="false" outlineLevel="0" collapsed="false">
      <c r="A21" s="16" t="s">
        <v>262</v>
      </c>
      <c r="B21" s="16" t="s">
        <v>228</v>
      </c>
      <c r="C21" s="17" t="s">
        <v>263</v>
      </c>
      <c r="D21" s="20" t="s">
        <v>226</v>
      </c>
      <c r="E21" s="16" t="s">
        <v>27</v>
      </c>
      <c r="F21" s="17"/>
    </row>
    <row r="22" customFormat="false" ht="15" hidden="false" customHeight="false" outlineLevel="0" collapsed="false">
      <c r="A22" s="14" t="s">
        <v>264</v>
      </c>
      <c r="B22" s="15"/>
      <c r="C22" s="14"/>
      <c r="D22" s="15"/>
      <c r="E22" s="15"/>
      <c r="F22" s="14"/>
    </row>
    <row r="23" customFormat="false" ht="15" hidden="false" customHeight="false" outlineLevel="0" collapsed="false">
      <c r="A23" s="16" t="s">
        <v>265</v>
      </c>
      <c r="B23" s="16" t="s">
        <v>233</v>
      </c>
      <c r="C23" s="17" t="s">
        <v>266</v>
      </c>
      <c r="D23" s="19" t="s">
        <v>213</v>
      </c>
      <c r="E23" s="16" t="s">
        <v>27</v>
      </c>
      <c r="F23" s="16" t="s">
        <v>267</v>
      </c>
    </row>
    <row r="24" customFormat="false" ht="15" hidden="false" customHeight="false" outlineLevel="0" collapsed="false">
      <c r="A24" s="16" t="s">
        <v>268</v>
      </c>
      <c r="B24" s="16" t="s">
        <v>211</v>
      </c>
      <c r="C24" s="17" t="s">
        <v>269</v>
      </c>
      <c r="D24" s="19" t="s">
        <v>213</v>
      </c>
      <c r="E24" s="16" t="s">
        <v>27</v>
      </c>
      <c r="F24" s="16" t="s">
        <v>270</v>
      </c>
    </row>
    <row r="25" customFormat="false" ht="15" hidden="false" customHeight="false" outlineLevel="0" collapsed="false">
      <c r="A25" s="16" t="s">
        <v>271</v>
      </c>
      <c r="B25" s="16" t="s">
        <v>211</v>
      </c>
      <c r="C25" s="17" t="s">
        <v>272</v>
      </c>
      <c r="D25" s="19" t="s">
        <v>213</v>
      </c>
      <c r="E25" s="16" t="s">
        <v>27</v>
      </c>
      <c r="F25" s="16" t="s">
        <v>273</v>
      </c>
    </row>
    <row r="26" customFormat="false" ht="15" hidden="false" customHeight="false" outlineLevel="0" collapsed="false">
      <c r="A26" s="16" t="s">
        <v>274</v>
      </c>
      <c r="B26" s="16" t="s">
        <v>228</v>
      </c>
      <c r="C26" s="17" t="s">
        <v>275</v>
      </c>
      <c r="D26" s="20" t="s">
        <v>226</v>
      </c>
      <c r="E26" s="16" t="s">
        <v>27</v>
      </c>
      <c r="F26" s="17"/>
    </row>
    <row r="27" customFormat="false" ht="15" hidden="false" customHeight="false" outlineLevel="0" collapsed="false">
      <c r="A27" s="16" t="s">
        <v>276</v>
      </c>
      <c r="B27" s="16" t="s">
        <v>211</v>
      </c>
      <c r="C27" s="17" t="s">
        <v>277</v>
      </c>
      <c r="D27" s="16" t="s">
        <v>159</v>
      </c>
      <c r="E27" s="16" t="s">
        <v>27</v>
      </c>
      <c r="F27" s="16" t="s">
        <v>278</v>
      </c>
    </row>
    <row r="28" customFormat="false" ht="15" hidden="false" customHeight="false" outlineLevel="0" collapsed="false">
      <c r="A28" s="16" t="s">
        <v>279</v>
      </c>
      <c r="B28" s="16" t="s">
        <v>211</v>
      </c>
      <c r="C28" s="17" t="s">
        <v>280</v>
      </c>
      <c r="D28" s="19" t="s">
        <v>213</v>
      </c>
      <c r="E28" s="16" t="s">
        <v>27</v>
      </c>
      <c r="F28" s="16" t="s">
        <v>281</v>
      </c>
    </row>
  </sheetData>
  <dataValidations count="3">
    <dataValidation allowBlank="true" errorStyle="stop" operator="between" showDropDown="false" showErrorMessage="false" showInputMessage="false" sqref="E2:E100" type="list">
      <formula1>"未开始,进行中,已完成"</formula1>
      <formula2>0</formula2>
    </dataValidation>
    <dataValidation allowBlank="true" errorStyle="stop" operator="between" showDropDown="false" showErrorMessage="false" showInputMessage="false" sqref="D2:D100" type="list">
      <formula1>"高,中,低,推荐"</formula1>
      <formula2>0</formula2>
    </dataValidation>
    <dataValidation allowBlank="true" errorStyle="stop" operator="between" showDropDown="false" showErrorMessage="false" showInputMessage="false" sqref="B2:B100" type="list">
      <formula1>"爸爸,妈妈,一起,各自负责"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</cols>
  <sheetData>
    <row r="1" customFormat="false" ht="17.9" hidden="false" customHeight="true" outlineLevel="0" collapsed="false">
      <c r="A1" s="21" t="s">
        <v>282</v>
      </c>
      <c r="B1" s="21"/>
      <c r="C1" s="21"/>
      <c r="D1" s="21"/>
    </row>
    <row r="3" customFormat="false" ht="15" hidden="false" customHeight="false" outlineLevel="0" collapsed="false">
      <c r="A3" s="8" t="s">
        <v>283</v>
      </c>
      <c r="B3" s="8" t="s">
        <v>284</v>
      </c>
      <c r="C3" s="8" t="s">
        <v>285</v>
      </c>
      <c r="D3" s="8" t="s">
        <v>286</v>
      </c>
    </row>
    <row r="4" customFormat="false" ht="15" hidden="false" customHeight="false" outlineLevel="0" collapsed="false">
      <c r="A4" s="22" t="s">
        <v>287</v>
      </c>
      <c r="B4" s="22" t="n">
        <f aca="false">收纳方案!D23</f>
        <v>1125</v>
      </c>
      <c r="C4" s="23"/>
      <c r="D4" s="24" t="n">
        <f aca="false">B4-C4</f>
        <v>1125</v>
      </c>
    </row>
    <row r="5" customFormat="false" ht="15" hidden="false" customHeight="false" outlineLevel="0" collapsed="false">
      <c r="A5" s="22" t="s">
        <v>288</v>
      </c>
      <c r="B5" s="22" t="n">
        <f aca="false">宝宝用品清单!D38</f>
        <v>5035</v>
      </c>
      <c r="C5" s="23"/>
      <c r="D5" s="24" t="n">
        <f aca="false">B5-C5</f>
        <v>5035</v>
      </c>
    </row>
    <row r="6" customFormat="false" ht="15" hidden="false" customHeight="false" outlineLevel="0" collapsed="false">
      <c r="A6" s="22" t="s">
        <v>289</v>
      </c>
      <c r="B6" s="23" t="n">
        <v>500</v>
      </c>
      <c r="C6" s="23"/>
      <c r="D6" s="24" t="n">
        <f aca="false">B6-C6</f>
        <v>500</v>
      </c>
    </row>
    <row r="7" customFormat="false" ht="15" hidden="false" customHeight="false" outlineLevel="0" collapsed="false">
      <c r="A7" s="22" t="s">
        <v>290</v>
      </c>
      <c r="B7" s="23" t="n">
        <v>300</v>
      </c>
      <c r="C7" s="23"/>
      <c r="D7" s="24" t="n">
        <f aca="false">B7-C7</f>
        <v>300</v>
      </c>
    </row>
    <row r="8" customFormat="false" ht="15" hidden="false" customHeight="false" outlineLevel="0" collapsed="false">
      <c r="A8" s="22" t="s">
        <v>291</v>
      </c>
      <c r="B8" s="23" t="n">
        <v>500</v>
      </c>
      <c r="C8" s="23"/>
      <c r="D8" s="24" t="n">
        <f aca="false">B8-C8</f>
        <v>500</v>
      </c>
    </row>
    <row r="9" customFormat="false" ht="15" hidden="false" customHeight="false" outlineLevel="0" collapsed="false">
      <c r="A9" s="25" t="s">
        <v>15</v>
      </c>
      <c r="B9" s="25" t="n">
        <f aca="false">SUM(B4:B8)</f>
        <v>7460</v>
      </c>
      <c r="C9" s="25" t="n">
        <f aca="false">SUM(C4:C8)</f>
        <v>0</v>
      </c>
      <c r="D9" s="25" t="n">
        <f aca="false">SUM(D4:D8)</f>
        <v>7460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2026-03-22T11:32:12Z</dcterms:created>
  <dc:creator>openpyxl</dc:creator>
  <dc:description/>
  <dc:language>en-US</dc:language>
  <cp:lastModifiedBy/>
  <dcterms:modified xsi:type="dcterms:W3CDTF">2026-03-22T11:32:12Z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